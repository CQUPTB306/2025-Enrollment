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5811\Desktop\2025年实验室招新\招新任务\"/>
    </mc:Choice>
  </mc:AlternateContent>
  <xr:revisionPtr revIDLastSave="0" documentId="13_ncr:1_{D87D3F46-7CF9-4BAB-9D91-D0A5D25E6F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8" i="1" l="1"/>
  <c r="N36" i="1"/>
  <c r="N22" i="1"/>
  <c r="N30" i="1"/>
  <c r="N27" i="1"/>
  <c r="N25" i="1"/>
  <c r="N34" i="1"/>
  <c r="N24" i="1"/>
  <c r="N28" i="1"/>
  <c r="N37" i="1"/>
  <c r="N29" i="1"/>
  <c r="N23" i="1"/>
  <c r="N35" i="1"/>
  <c r="N31" i="1"/>
  <c r="N26" i="1"/>
  <c r="N32" i="1"/>
  <c r="N39" i="1"/>
  <c r="N33" i="1"/>
  <c r="S2" i="1"/>
  <c r="S3" i="1"/>
  <c r="S4" i="1"/>
  <c r="S5" i="1"/>
  <c r="S6" i="1"/>
  <c r="S7" i="1"/>
  <c r="S1" i="1"/>
  <c r="N14" i="1"/>
  <c r="N15" i="1"/>
  <c r="N2" i="1"/>
  <c r="N3" i="1"/>
  <c r="N4" i="1"/>
  <c r="N5" i="1"/>
  <c r="AD14" i="1"/>
  <c r="N6" i="1"/>
  <c r="N7" i="1"/>
  <c r="N8" i="1"/>
  <c r="AD15" i="1"/>
  <c r="N9" i="1"/>
  <c r="N10" i="1"/>
  <c r="N11" i="1"/>
  <c r="N12" i="1"/>
  <c r="N13" i="1"/>
  <c r="N16" i="1"/>
  <c r="AD16" i="1"/>
  <c r="N17" i="1"/>
  <c r="N18" i="1"/>
  <c r="N19" i="1"/>
  <c r="AD17" i="1"/>
  <c r="AD13" i="1"/>
</calcChain>
</file>

<file path=xl/sharedStrings.xml><?xml version="1.0" encoding="utf-8"?>
<sst xmlns="http://schemas.openxmlformats.org/spreadsheetml/2006/main" count="81" uniqueCount="34">
  <si>
    <t>姓名（必填）</t>
  </si>
  <si>
    <t>陈麟枫</t>
  </si>
  <si>
    <t>邓钦予</t>
  </si>
  <si>
    <t>胡世豪</t>
  </si>
  <si>
    <t>李宇涵</t>
  </si>
  <si>
    <t>柳向东</t>
  </si>
  <si>
    <t>罗冠</t>
  </si>
  <si>
    <t>任子昂</t>
  </si>
  <si>
    <t>滕葰航</t>
  </si>
  <si>
    <t>王铃杰</t>
  </si>
  <si>
    <t>王昕嵬</t>
  </si>
  <si>
    <t>温鑫然</t>
  </si>
  <si>
    <t>伍君杰</t>
  </si>
  <si>
    <t>席伯骏</t>
  </si>
  <si>
    <t>徐诚铄</t>
  </si>
  <si>
    <t>徐辉</t>
  </si>
  <si>
    <t>徐智威</t>
  </si>
  <si>
    <t>杨丰豪</t>
  </si>
  <si>
    <t>游季霖</t>
  </si>
  <si>
    <t>袁晨曦</t>
  </si>
  <si>
    <t>袁雪舰</t>
  </si>
  <si>
    <t>张逸翔</t>
  </si>
  <si>
    <t>备注</t>
    <phoneticPr fontId="1" type="noConversion"/>
  </si>
  <si>
    <t>章德昊</t>
  </si>
  <si>
    <t>郭相君</t>
    <phoneticPr fontId="1" type="noConversion"/>
  </si>
  <si>
    <t>总分</t>
    <phoneticPr fontId="1" type="noConversion"/>
  </si>
  <si>
    <t>C语言部分分数</t>
    <phoneticPr fontId="1" type="noConversion"/>
  </si>
  <si>
    <t>任务2</t>
    <phoneticPr fontId="1" type="noConversion"/>
  </si>
  <si>
    <t>任务3</t>
    <phoneticPr fontId="1" type="noConversion"/>
  </si>
  <si>
    <t>任务4</t>
    <phoneticPr fontId="1" type="noConversion"/>
  </si>
  <si>
    <t>任务5</t>
    <phoneticPr fontId="1" type="noConversion"/>
  </si>
  <si>
    <t>最终测试</t>
    <phoneticPr fontId="1" type="noConversion"/>
  </si>
  <si>
    <t>下次检查</t>
    <phoneticPr fontId="1" type="noConversion"/>
  </si>
  <si>
    <t>y=-20/69*x+1250/23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</si>
</sst>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1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0" fillId="3" borderId="0" xfId="0" applyFill="1"/>
    <xf numFmtId="0" fontId="2" fillId="4" borderId="0" xfId="0" applyFont="1" applyFill="1" applyAlignment="1">
      <alignment horizontal="left" vertical="center"/>
    </xf>
    <xf numFmtId="0" fontId="0" fillId="4" borderId="0" xfId="0" applyFill="1"/>
    <xf numFmtId="0" fontId="3" fillId="3" borderId="0" xfId="0" applyFont="1" applyFill="1"/>
    <xf numFmtId="0" fontId="0" fillId="5" borderId="0" xfId="0" applyFill="1"/>
    <xf numFmtId="0" fontId="2" fillId="5" borderId="0" xfId="0" applyFont="1" applyFill="1" applyAlignment="1">
      <alignment horizontal="left" vertical="center"/>
    </xf>
    <xf numFmtId="0" fontId="0" fillId="6" borderId="0" xfId="0" applyFill="1"/>
    <xf numFmtId="0" fontId="0" fillId="7" borderId="0" xfId="0" applyFill="1"/>
    <xf numFmtId="0" fontId="2" fillId="0" borderId="0" xfId="0" applyFont="1" applyFill="1" applyAlignment="1">
      <alignment horizontal="center" vertical="center"/>
    </xf>
    <xf numFmtId="0" fontId="4" fillId="8" borderId="0" xfId="0" applyFont="1" applyFill="1"/>
    <xf numFmtId="0" fontId="0" fillId="8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tabSelected="1" topLeftCell="A10" zoomScale="115" zoomScaleNormal="115" workbookViewId="0">
      <selection activeCell="J26" sqref="J26"/>
    </sheetView>
  </sheetViews>
  <sheetFormatPr defaultRowHeight="14" x14ac:dyDescent="0.3"/>
  <cols>
    <col min="2" max="2" width="11.5" customWidth="1"/>
    <col min="13" max="13" width="13.9140625" customWidth="1"/>
  </cols>
  <sheetData>
    <row r="1" spans="1:34" x14ac:dyDescent="0.3">
      <c r="B1" s="1" t="s">
        <v>0</v>
      </c>
      <c r="C1" t="s">
        <v>27</v>
      </c>
      <c r="D1" t="s">
        <v>22</v>
      </c>
      <c r="E1" t="s">
        <v>28</v>
      </c>
      <c r="F1" t="s">
        <v>22</v>
      </c>
      <c r="G1" t="s">
        <v>29</v>
      </c>
      <c r="H1" t="s">
        <v>22</v>
      </c>
      <c r="I1" t="s">
        <v>30</v>
      </c>
      <c r="J1" t="s">
        <v>22</v>
      </c>
      <c r="K1" t="s">
        <v>31</v>
      </c>
      <c r="L1" t="s">
        <v>22</v>
      </c>
      <c r="M1" t="s">
        <v>26</v>
      </c>
      <c r="N1" t="s">
        <v>25</v>
      </c>
      <c r="P1">
        <v>1</v>
      </c>
      <c r="Q1" s="7" t="s">
        <v>19</v>
      </c>
      <c r="R1" s="7">
        <v>15</v>
      </c>
      <c r="S1" s="8">
        <f>-R1*20/69+1250/23</f>
        <v>50</v>
      </c>
      <c r="T1" s="5">
        <v>100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3">
      <c r="A2">
        <v>1</v>
      </c>
      <c r="B2" s="2" t="s">
        <v>2</v>
      </c>
      <c r="C2">
        <v>5</v>
      </c>
      <c r="E2">
        <v>4</v>
      </c>
      <c r="G2">
        <v>4</v>
      </c>
      <c r="I2">
        <v>5</v>
      </c>
      <c r="K2">
        <v>50</v>
      </c>
      <c r="M2">
        <v>25.48</v>
      </c>
      <c r="N2">
        <f t="shared" ref="N2:N19" si="0">C2+E2+G2+I2+K2*0.18+M2</f>
        <v>52.480000000000004</v>
      </c>
      <c r="P2">
        <v>2</v>
      </c>
      <c r="Q2" s="7" t="s">
        <v>4</v>
      </c>
      <c r="R2" s="7">
        <v>32</v>
      </c>
      <c r="S2" s="8">
        <f t="shared" ref="S2:S7" si="1">-R2*20/69+1250/23</f>
        <v>45.072463768115945</v>
      </c>
      <c r="T2" s="5">
        <v>95.072463768115938</v>
      </c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4" x14ac:dyDescent="0.3">
      <c r="A3">
        <v>2</v>
      </c>
      <c r="B3" s="2" t="s">
        <v>24</v>
      </c>
      <c r="C3" s="5">
        <v>4</v>
      </c>
      <c r="D3" s="5"/>
      <c r="E3">
        <v>4</v>
      </c>
      <c r="G3">
        <v>4</v>
      </c>
      <c r="I3">
        <v>5</v>
      </c>
      <c r="K3">
        <v>0</v>
      </c>
      <c r="M3" s="5">
        <v>21.24</v>
      </c>
      <c r="N3">
        <f t="shared" si="0"/>
        <v>38.239999999999995</v>
      </c>
      <c r="P3">
        <v>3</v>
      </c>
      <c r="Q3" s="7" t="s">
        <v>8</v>
      </c>
      <c r="R3" s="7">
        <v>36</v>
      </c>
      <c r="S3" s="8">
        <f t="shared" si="1"/>
        <v>43.913043478260875</v>
      </c>
      <c r="T3" s="5">
        <v>93.913043478260875</v>
      </c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4" x14ac:dyDescent="0.3">
      <c r="A4">
        <v>3</v>
      </c>
      <c r="B4" s="2" t="s">
        <v>3</v>
      </c>
      <c r="C4" s="5">
        <v>4</v>
      </c>
      <c r="D4" s="5"/>
      <c r="E4">
        <v>5</v>
      </c>
      <c r="G4">
        <v>5</v>
      </c>
      <c r="I4">
        <v>4</v>
      </c>
      <c r="K4">
        <v>50</v>
      </c>
      <c r="M4" s="5">
        <v>26.04</v>
      </c>
      <c r="N4">
        <f t="shared" si="0"/>
        <v>53.04</v>
      </c>
      <c r="P4">
        <v>4</v>
      </c>
      <c r="Q4" s="7" t="s">
        <v>13</v>
      </c>
      <c r="R4" s="7">
        <v>43</v>
      </c>
      <c r="S4" s="8">
        <f t="shared" si="1"/>
        <v>41.884057971014492</v>
      </c>
      <c r="T4" s="5">
        <v>91.884057971014499</v>
      </c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4" x14ac:dyDescent="0.3">
      <c r="A5">
        <v>4</v>
      </c>
      <c r="B5" s="4" t="s">
        <v>4</v>
      </c>
      <c r="C5" s="5">
        <v>5</v>
      </c>
      <c r="D5" s="5"/>
      <c r="E5">
        <v>5</v>
      </c>
      <c r="G5">
        <v>5</v>
      </c>
      <c r="I5">
        <v>5</v>
      </c>
      <c r="K5" s="5">
        <v>95.072463768115938</v>
      </c>
      <c r="M5" s="5">
        <v>25.439999999999998</v>
      </c>
      <c r="N5">
        <f t="shared" si="0"/>
        <v>62.553043478260861</v>
      </c>
      <c r="P5">
        <v>5</v>
      </c>
      <c r="Q5" s="7" t="s">
        <v>15</v>
      </c>
      <c r="R5" s="7">
        <v>69</v>
      </c>
      <c r="S5" s="8">
        <f t="shared" si="1"/>
        <v>34.347826086956523</v>
      </c>
      <c r="T5" s="5">
        <v>84.34782608695653</v>
      </c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4" x14ac:dyDescent="0.3">
      <c r="A6">
        <v>5</v>
      </c>
      <c r="B6" s="2" t="s">
        <v>6</v>
      </c>
      <c r="C6">
        <v>5</v>
      </c>
      <c r="E6">
        <v>5</v>
      </c>
      <c r="G6">
        <v>5</v>
      </c>
      <c r="I6">
        <v>5</v>
      </c>
      <c r="K6">
        <v>50</v>
      </c>
      <c r="M6">
        <v>24.48</v>
      </c>
      <c r="N6">
        <f t="shared" si="0"/>
        <v>53.480000000000004</v>
      </c>
      <c r="P6">
        <v>6</v>
      </c>
      <c r="Q6" s="7" t="s">
        <v>12</v>
      </c>
      <c r="R6" s="7">
        <v>77</v>
      </c>
      <c r="S6" s="8">
        <f t="shared" si="1"/>
        <v>32.028985507246375</v>
      </c>
      <c r="T6" s="5">
        <v>82.028985507246375</v>
      </c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4" x14ac:dyDescent="0.3">
      <c r="A7">
        <v>6</v>
      </c>
      <c r="B7" s="2" t="s">
        <v>7</v>
      </c>
      <c r="C7">
        <v>5</v>
      </c>
      <c r="D7" s="5"/>
      <c r="E7">
        <v>4</v>
      </c>
      <c r="G7">
        <v>5</v>
      </c>
      <c r="I7">
        <v>4</v>
      </c>
      <c r="K7">
        <v>20</v>
      </c>
      <c r="M7">
        <v>28.52</v>
      </c>
      <c r="N7">
        <f t="shared" si="0"/>
        <v>50.120000000000005</v>
      </c>
      <c r="P7">
        <v>7</v>
      </c>
      <c r="Q7" s="7" t="s">
        <v>10</v>
      </c>
      <c r="R7" s="7">
        <v>84</v>
      </c>
      <c r="S7" s="8">
        <f t="shared" si="1"/>
        <v>30</v>
      </c>
      <c r="T7" s="5">
        <v>80</v>
      </c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4" x14ac:dyDescent="0.3">
      <c r="A8">
        <v>7</v>
      </c>
      <c r="B8" s="2" t="s">
        <v>8</v>
      </c>
      <c r="C8">
        <v>5</v>
      </c>
      <c r="E8">
        <v>5</v>
      </c>
      <c r="G8">
        <v>5</v>
      </c>
      <c r="I8">
        <v>5</v>
      </c>
      <c r="K8" s="5">
        <v>93.913043478260875</v>
      </c>
      <c r="M8">
        <v>28.36</v>
      </c>
      <c r="N8">
        <f t="shared" si="0"/>
        <v>65.264347826086961</v>
      </c>
      <c r="Q8" s="5"/>
      <c r="R8" s="4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4" x14ac:dyDescent="0.3">
      <c r="A9">
        <v>8</v>
      </c>
      <c r="B9" s="4" t="s">
        <v>10</v>
      </c>
      <c r="C9">
        <v>5</v>
      </c>
      <c r="E9">
        <v>5</v>
      </c>
      <c r="G9">
        <v>5</v>
      </c>
      <c r="I9">
        <v>4</v>
      </c>
      <c r="K9" s="5">
        <v>80</v>
      </c>
      <c r="M9">
        <v>22</v>
      </c>
      <c r="N9">
        <f t="shared" si="0"/>
        <v>55.4</v>
      </c>
      <c r="Q9" s="5"/>
      <c r="R9" s="14" t="s">
        <v>33</v>
      </c>
      <c r="S9" s="14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4" x14ac:dyDescent="0.3">
      <c r="A10">
        <v>9</v>
      </c>
      <c r="B10" s="2" t="s">
        <v>11</v>
      </c>
      <c r="C10">
        <v>5</v>
      </c>
      <c r="E10">
        <v>5</v>
      </c>
      <c r="G10">
        <v>5</v>
      </c>
      <c r="I10">
        <v>4</v>
      </c>
      <c r="K10">
        <v>0</v>
      </c>
      <c r="M10">
        <v>26.119999999999997</v>
      </c>
      <c r="N10">
        <f t="shared" si="0"/>
        <v>45.12</v>
      </c>
      <c r="Q10" s="5"/>
      <c r="R10" s="4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4" x14ac:dyDescent="0.3">
      <c r="A11">
        <v>10</v>
      </c>
      <c r="B11" s="2" t="s">
        <v>12</v>
      </c>
      <c r="C11">
        <v>4</v>
      </c>
      <c r="E11">
        <v>4</v>
      </c>
      <c r="G11">
        <v>5</v>
      </c>
      <c r="I11">
        <v>5</v>
      </c>
      <c r="K11" s="5">
        <v>82.028985507246375</v>
      </c>
      <c r="M11">
        <v>22.759999999999998</v>
      </c>
      <c r="N11">
        <f t="shared" si="0"/>
        <v>55.525217391304345</v>
      </c>
      <c r="Q11" s="5"/>
      <c r="R11" s="4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x14ac:dyDescent="0.3">
      <c r="A12">
        <v>11</v>
      </c>
      <c r="B12" s="2" t="s">
        <v>13</v>
      </c>
      <c r="C12">
        <v>5</v>
      </c>
      <c r="E12">
        <v>5</v>
      </c>
      <c r="G12">
        <v>5</v>
      </c>
      <c r="I12">
        <v>4</v>
      </c>
      <c r="K12" s="5">
        <v>91.884057971014499</v>
      </c>
      <c r="M12">
        <v>29.72</v>
      </c>
      <c r="N12">
        <f t="shared" si="0"/>
        <v>65.259130434782605</v>
      </c>
      <c r="Q12" s="5"/>
      <c r="R12" s="4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x14ac:dyDescent="0.3">
      <c r="A13">
        <v>12</v>
      </c>
      <c r="B13" s="2" t="s">
        <v>14</v>
      </c>
      <c r="C13">
        <v>4</v>
      </c>
      <c r="E13">
        <v>4</v>
      </c>
      <c r="G13">
        <v>4</v>
      </c>
      <c r="I13">
        <v>5</v>
      </c>
      <c r="K13">
        <v>50</v>
      </c>
      <c r="M13">
        <v>25.8</v>
      </c>
      <c r="N13">
        <f t="shared" si="0"/>
        <v>51.8</v>
      </c>
      <c r="Q13" s="6">
        <v>1</v>
      </c>
      <c r="R13" s="3" t="s">
        <v>1</v>
      </c>
      <c r="S13" s="6">
        <v>4</v>
      </c>
      <c r="T13" s="6"/>
      <c r="U13" s="6">
        <v>4</v>
      </c>
      <c r="V13" s="6"/>
      <c r="W13" s="6">
        <v>0</v>
      </c>
      <c r="X13" s="6"/>
      <c r="Y13" s="6">
        <v>0</v>
      </c>
      <c r="Z13" s="6" t="s">
        <v>32</v>
      </c>
      <c r="AA13" s="6">
        <v>0</v>
      </c>
      <c r="AB13" s="6"/>
      <c r="AC13" s="6">
        <v>29.68</v>
      </c>
      <c r="AD13" s="6">
        <f>S13+U13+W13+Y13+AA13*0.18+AC13</f>
        <v>37.68</v>
      </c>
      <c r="AE13" s="5"/>
      <c r="AF13" s="5"/>
      <c r="AG13" s="5"/>
      <c r="AH13" s="5"/>
    </row>
    <row r="14" spans="1:34" x14ac:dyDescent="0.3">
      <c r="A14">
        <v>13</v>
      </c>
      <c r="B14" s="4" t="s">
        <v>15</v>
      </c>
      <c r="C14">
        <v>5</v>
      </c>
      <c r="E14">
        <v>5</v>
      </c>
      <c r="G14">
        <v>5</v>
      </c>
      <c r="I14">
        <v>5</v>
      </c>
      <c r="K14" s="5">
        <v>84.34782608695653</v>
      </c>
      <c r="M14">
        <v>29.119999999999997</v>
      </c>
      <c r="N14">
        <f t="shared" si="0"/>
        <v>64.302608695652168</v>
      </c>
      <c r="Q14" s="6">
        <v>2</v>
      </c>
      <c r="R14" s="3" t="s">
        <v>5</v>
      </c>
      <c r="S14" s="6">
        <v>5</v>
      </c>
      <c r="T14" s="6"/>
      <c r="U14" s="6">
        <v>4</v>
      </c>
      <c r="V14" s="6"/>
      <c r="W14" s="6">
        <v>5</v>
      </c>
      <c r="X14" s="6"/>
      <c r="Y14" s="6">
        <v>0</v>
      </c>
      <c r="Z14" s="6" t="s">
        <v>32</v>
      </c>
      <c r="AA14" s="6">
        <v>0</v>
      </c>
      <c r="AB14" s="6"/>
      <c r="AC14" s="6">
        <v>22.6</v>
      </c>
      <c r="AD14" s="6">
        <f>S14+U14+W14+Y14+AA14*0.18+AC14</f>
        <v>36.6</v>
      </c>
      <c r="AE14" s="5"/>
      <c r="AF14" s="5"/>
      <c r="AG14" s="5"/>
      <c r="AH14" s="5"/>
    </row>
    <row r="15" spans="1:34" x14ac:dyDescent="0.3">
      <c r="A15">
        <v>14</v>
      </c>
      <c r="B15" s="2" t="s">
        <v>16</v>
      </c>
      <c r="C15">
        <v>5</v>
      </c>
      <c r="E15">
        <v>5</v>
      </c>
      <c r="G15">
        <v>5</v>
      </c>
      <c r="I15">
        <v>4</v>
      </c>
      <c r="K15">
        <v>50</v>
      </c>
      <c r="M15">
        <v>29.04</v>
      </c>
      <c r="N15">
        <f t="shared" si="0"/>
        <v>57.04</v>
      </c>
      <c r="Q15" s="6">
        <v>3</v>
      </c>
      <c r="R15" s="3" t="s">
        <v>9</v>
      </c>
      <c r="S15" s="6">
        <v>4</v>
      </c>
      <c r="T15" s="6"/>
      <c r="U15" s="6">
        <v>4</v>
      </c>
      <c r="V15" s="6"/>
      <c r="W15" s="6">
        <v>0</v>
      </c>
      <c r="X15" s="6" t="s">
        <v>32</v>
      </c>
      <c r="Y15" s="6">
        <v>0</v>
      </c>
      <c r="Z15" s="6" t="s">
        <v>32</v>
      </c>
      <c r="AA15" s="6">
        <v>0</v>
      </c>
      <c r="AB15" s="6"/>
      <c r="AC15" s="6">
        <v>24.68</v>
      </c>
      <c r="AD15" s="6">
        <f>S15+U15+W15+Y15+AA15*0.18+AC15</f>
        <v>32.68</v>
      </c>
      <c r="AE15" s="5"/>
      <c r="AF15" s="5"/>
      <c r="AG15" s="5"/>
      <c r="AH15" s="5"/>
    </row>
    <row r="16" spans="1:34" x14ac:dyDescent="0.3">
      <c r="A16">
        <v>15</v>
      </c>
      <c r="B16" s="4" t="s">
        <v>17</v>
      </c>
      <c r="C16">
        <v>5</v>
      </c>
      <c r="E16">
        <v>5</v>
      </c>
      <c r="G16">
        <v>4</v>
      </c>
      <c r="I16">
        <v>4</v>
      </c>
      <c r="K16">
        <v>50</v>
      </c>
      <c r="M16">
        <v>28.240000000000002</v>
      </c>
      <c r="N16">
        <f t="shared" si="0"/>
        <v>55.24</v>
      </c>
      <c r="Q16" s="6">
        <v>4</v>
      </c>
      <c r="R16" s="3" t="s">
        <v>18</v>
      </c>
      <c r="S16" s="6">
        <v>4</v>
      </c>
      <c r="T16" s="6"/>
      <c r="U16" s="6">
        <v>4</v>
      </c>
      <c r="V16" s="6"/>
      <c r="W16" s="6">
        <v>4</v>
      </c>
      <c r="X16" s="6"/>
      <c r="Y16" s="6">
        <v>0</v>
      </c>
      <c r="Z16" s="6" t="s">
        <v>32</v>
      </c>
      <c r="AA16" s="6">
        <v>0</v>
      </c>
      <c r="AB16" s="6"/>
      <c r="AC16" s="6">
        <v>20.52</v>
      </c>
      <c r="AD16" s="6">
        <f>S16+U16+W16+Y16+AA16*0.18+AC16</f>
        <v>32.519999999999996</v>
      </c>
      <c r="AE16" s="5"/>
      <c r="AF16" s="5"/>
      <c r="AG16" s="5"/>
      <c r="AH16" s="5"/>
    </row>
    <row r="17" spans="1:34" x14ac:dyDescent="0.3">
      <c r="A17">
        <v>16</v>
      </c>
      <c r="B17" s="2" t="s">
        <v>19</v>
      </c>
      <c r="C17">
        <v>5</v>
      </c>
      <c r="E17">
        <v>5</v>
      </c>
      <c r="G17">
        <v>5</v>
      </c>
      <c r="I17">
        <v>5</v>
      </c>
      <c r="K17">
        <v>100</v>
      </c>
      <c r="M17">
        <v>30.56</v>
      </c>
      <c r="N17">
        <f t="shared" si="0"/>
        <v>68.56</v>
      </c>
      <c r="Q17" s="6">
        <v>5</v>
      </c>
      <c r="R17" s="9" t="s">
        <v>23</v>
      </c>
      <c r="S17" s="6">
        <v>4</v>
      </c>
      <c r="T17" s="6"/>
      <c r="U17" s="6">
        <v>5</v>
      </c>
      <c r="V17" s="6"/>
      <c r="W17" s="6">
        <v>4</v>
      </c>
      <c r="X17" s="6"/>
      <c r="Y17" s="6">
        <v>0</v>
      </c>
      <c r="Z17" s="6" t="s">
        <v>32</v>
      </c>
      <c r="AA17" s="6">
        <v>20</v>
      </c>
      <c r="AB17" s="6"/>
      <c r="AC17" s="6">
        <v>27.16</v>
      </c>
      <c r="AD17" s="6">
        <f>S17+U17+W17+Y17+AA17*0.18+AC17</f>
        <v>43.760000000000005</v>
      </c>
      <c r="AE17" s="5"/>
      <c r="AF17" s="5"/>
      <c r="AG17" s="5"/>
      <c r="AH17" s="5"/>
    </row>
    <row r="18" spans="1:34" x14ac:dyDescent="0.3">
      <c r="A18">
        <v>17</v>
      </c>
      <c r="B18" s="4" t="s">
        <v>20</v>
      </c>
      <c r="C18">
        <v>5</v>
      </c>
      <c r="E18">
        <v>5</v>
      </c>
      <c r="G18">
        <v>5</v>
      </c>
      <c r="I18">
        <v>5</v>
      </c>
      <c r="K18">
        <v>0</v>
      </c>
      <c r="M18">
        <v>28.08</v>
      </c>
      <c r="N18">
        <f t="shared" si="0"/>
        <v>48.08</v>
      </c>
      <c r="R18" s="5"/>
      <c r="AE18" s="5"/>
      <c r="AF18" s="5"/>
      <c r="AG18" s="5"/>
      <c r="AH18" s="5"/>
    </row>
    <row r="19" spans="1:34" x14ac:dyDescent="0.3">
      <c r="A19">
        <v>18</v>
      </c>
      <c r="B19" s="4" t="s">
        <v>21</v>
      </c>
      <c r="C19">
        <v>4</v>
      </c>
      <c r="E19">
        <v>5</v>
      </c>
      <c r="G19">
        <v>4</v>
      </c>
      <c r="I19">
        <v>4</v>
      </c>
      <c r="K19">
        <v>20</v>
      </c>
      <c r="M19">
        <v>19.84</v>
      </c>
      <c r="N19">
        <f t="shared" si="0"/>
        <v>40.44</v>
      </c>
      <c r="R19" s="5"/>
      <c r="AE19" s="5"/>
      <c r="AF19" s="5"/>
      <c r="AG19" s="5"/>
      <c r="AH19" s="5"/>
    </row>
    <row r="20" spans="1:34" x14ac:dyDescent="0.3">
      <c r="R20" s="5"/>
      <c r="AE20" s="5"/>
      <c r="AF20" s="5"/>
      <c r="AG20" s="5"/>
      <c r="AH20" s="5"/>
    </row>
    <row r="21" spans="1:34" x14ac:dyDescent="0.3">
      <c r="B21" s="1" t="s">
        <v>0</v>
      </c>
      <c r="C21" t="s">
        <v>27</v>
      </c>
      <c r="D21" t="s">
        <v>22</v>
      </c>
      <c r="E21" t="s">
        <v>28</v>
      </c>
      <c r="F21" t="s">
        <v>22</v>
      </c>
      <c r="G21" t="s">
        <v>29</v>
      </c>
      <c r="H21" t="s">
        <v>22</v>
      </c>
      <c r="I21" t="s">
        <v>30</v>
      </c>
      <c r="J21" t="s">
        <v>22</v>
      </c>
      <c r="K21" t="s">
        <v>31</v>
      </c>
      <c r="L21" t="s">
        <v>22</v>
      </c>
      <c r="M21" t="s">
        <v>26</v>
      </c>
      <c r="N21" t="s">
        <v>25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3">
      <c r="A22" s="10">
        <v>1</v>
      </c>
      <c r="B22" s="11" t="s">
        <v>19</v>
      </c>
      <c r="C22">
        <v>5</v>
      </c>
      <c r="E22">
        <v>5</v>
      </c>
      <c r="G22">
        <v>5</v>
      </c>
      <c r="I22">
        <v>5</v>
      </c>
      <c r="K22">
        <v>100</v>
      </c>
      <c r="M22">
        <v>30.56</v>
      </c>
      <c r="N22">
        <f t="shared" ref="N22:N39" si="2">C22+E22+G22+I22+K22*0.18+M22</f>
        <v>68.56</v>
      </c>
      <c r="Q22" s="5"/>
      <c r="R22" s="4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x14ac:dyDescent="0.3">
      <c r="A23" s="10">
        <v>2</v>
      </c>
      <c r="B23" s="11" t="s">
        <v>8</v>
      </c>
      <c r="C23">
        <v>5</v>
      </c>
      <c r="E23">
        <v>5</v>
      </c>
      <c r="G23">
        <v>5</v>
      </c>
      <c r="I23">
        <v>5</v>
      </c>
      <c r="K23" s="5">
        <v>93.913043478260875</v>
      </c>
      <c r="M23">
        <v>28.36</v>
      </c>
      <c r="N23">
        <f t="shared" si="2"/>
        <v>65.264347826086961</v>
      </c>
      <c r="O23" s="12"/>
      <c r="AE23" s="5"/>
      <c r="AF23" s="5"/>
      <c r="AG23" s="5"/>
      <c r="AH23" s="5"/>
    </row>
    <row r="24" spans="1:34" x14ac:dyDescent="0.3">
      <c r="A24" s="10">
        <v>3</v>
      </c>
      <c r="B24" s="11" t="s">
        <v>13</v>
      </c>
      <c r="C24">
        <v>5</v>
      </c>
      <c r="E24">
        <v>5</v>
      </c>
      <c r="G24">
        <v>5</v>
      </c>
      <c r="I24">
        <v>4</v>
      </c>
      <c r="K24" s="5">
        <v>91.884057971014499</v>
      </c>
      <c r="M24">
        <v>29.72</v>
      </c>
      <c r="N24">
        <f t="shared" si="2"/>
        <v>65.259130434782605</v>
      </c>
      <c r="O24" s="13"/>
      <c r="AE24" s="5"/>
      <c r="AF24" s="5"/>
      <c r="AG24" s="5"/>
      <c r="AH24" s="5"/>
    </row>
    <row r="25" spans="1:34" x14ac:dyDescent="0.3">
      <c r="A25" s="10">
        <v>4</v>
      </c>
      <c r="B25" s="11" t="s">
        <v>15</v>
      </c>
      <c r="C25">
        <v>5</v>
      </c>
      <c r="E25">
        <v>5</v>
      </c>
      <c r="G25">
        <v>5</v>
      </c>
      <c r="I25">
        <v>5</v>
      </c>
      <c r="K25" s="5">
        <v>84.34782608695653</v>
      </c>
      <c r="M25">
        <v>29.119999999999997</v>
      </c>
      <c r="N25">
        <f t="shared" si="2"/>
        <v>64.302608695652168</v>
      </c>
      <c r="O25" s="15"/>
      <c r="AE25" s="5"/>
      <c r="AF25" s="5"/>
      <c r="AG25" s="5"/>
      <c r="AH25" s="5"/>
    </row>
    <row r="26" spans="1:34" x14ac:dyDescent="0.3">
      <c r="A26" s="10">
        <v>5</v>
      </c>
      <c r="B26" s="11" t="s">
        <v>4</v>
      </c>
      <c r="C26" s="5">
        <v>5</v>
      </c>
      <c r="D26" s="5"/>
      <c r="E26">
        <v>5</v>
      </c>
      <c r="G26">
        <v>5</v>
      </c>
      <c r="I26">
        <v>5</v>
      </c>
      <c r="K26" s="5">
        <v>95.072463768115938</v>
      </c>
      <c r="M26" s="5">
        <v>25.439999999999998</v>
      </c>
      <c r="N26">
        <f t="shared" si="2"/>
        <v>62.553043478260861</v>
      </c>
      <c r="O26" s="12"/>
      <c r="AE26" s="5"/>
      <c r="AF26" s="5"/>
      <c r="AG26" s="5"/>
      <c r="AH26" s="5"/>
    </row>
    <row r="27" spans="1:34" x14ac:dyDescent="0.3">
      <c r="A27" s="10">
        <v>6</v>
      </c>
      <c r="B27" s="11" t="s">
        <v>16</v>
      </c>
      <c r="C27">
        <v>5</v>
      </c>
      <c r="E27">
        <v>5</v>
      </c>
      <c r="G27">
        <v>5</v>
      </c>
      <c r="I27">
        <v>4</v>
      </c>
      <c r="K27">
        <v>50</v>
      </c>
      <c r="M27">
        <v>29.04</v>
      </c>
      <c r="N27">
        <f t="shared" si="2"/>
        <v>57.04</v>
      </c>
      <c r="O27" s="16"/>
      <c r="AE27" s="5"/>
      <c r="AF27" s="5"/>
      <c r="AG27" s="5"/>
      <c r="AH27" s="5"/>
    </row>
    <row r="28" spans="1:34" x14ac:dyDescent="0.3">
      <c r="A28" s="10">
        <v>7</v>
      </c>
      <c r="B28" s="11" t="s">
        <v>12</v>
      </c>
      <c r="C28">
        <v>4</v>
      </c>
      <c r="E28">
        <v>4</v>
      </c>
      <c r="G28">
        <v>5</v>
      </c>
      <c r="I28">
        <v>5</v>
      </c>
      <c r="K28" s="5">
        <v>82.028985507246375</v>
      </c>
      <c r="M28">
        <v>22.759999999999998</v>
      </c>
      <c r="N28">
        <f t="shared" si="2"/>
        <v>55.525217391304345</v>
      </c>
      <c r="O28" s="16"/>
      <c r="AE28" s="5"/>
      <c r="AF28" s="5"/>
      <c r="AG28" s="5"/>
      <c r="AH28" s="5"/>
    </row>
    <row r="29" spans="1:34" x14ac:dyDescent="0.3">
      <c r="A29" s="10">
        <v>8</v>
      </c>
      <c r="B29" s="11" t="s">
        <v>10</v>
      </c>
      <c r="C29">
        <v>5</v>
      </c>
      <c r="E29">
        <v>5</v>
      </c>
      <c r="G29">
        <v>5</v>
      </c>
      <c r="I29">
        <v>4</v>
      </c>
      <c r="K29" s="5">
        <v>80</v>
      </c>
      <c r="M29">
        <v>22</v>
      </c>
      <c r="N29">
        <f t="shared" si="2"/>
        <v>55.4</v>
      </c>
      <c r="O29" s="16"/>
      <c r="AE29" s="5"/>
      <c r="AF29" s="5"/>
      <c r="AG29" s="5"/>
      <c r="AH29" s="5"/>
    </row>
    <row r="30" spans="1:34" x14ac:dyDescent="0.3">
      <c r="A30" s="10">
        <v>9</v>
      </c>
      <c r="B30" s="11" t="s">
        <v>17</v>
      </c>
      <c r="C30">
        <v>5</v>
      </c>
      <c r="E30">
        <v>5</v>
      </c>
      <c r="G30">
        <v>4</v>
      </c>
      <c r="I30">
        <v>4</v>
      </c>
      <c r="K30">
        <v>50</v>
      </c>
      <c r="M30">
        <v>28.240000000000002</v>
      </c>
      <c r="N30">
        <f t="shared" si="2"/>
        <v>55.24</v>
      </c>
      <c r="O30" s="16"/>
      <c r="AE30" s="5"/>
      <c r="AF30" s="5"/>
      <c r="AG30" s="5"/>
      <c r="AH30" s="5"/>
    </row>
    <row r="31" spans="1:34" x14ac:dyDescent="0.3">
      <c r="A31" s="10">
        <v>10</v>
      </c>
      <c r="B31" s="11" t="s">
        <v>6</v>
      </c>
      <c r="C31">
        <v>5</v>
      </c>
      <c r="E31">
        <v>5</v>
      </c>
      <c r="G31">
        <v>5</v>
      </c>
      <c r="I31">
        <v>5</v>
      </c>
      <c r="K31">
        <v>50</v>
      </c>
      <c r="M31">
        <v>24.48</v>
      </c>
      <c r="N31">
        <f t="shared" si="2"/>
        <v>53.480000000000004</v>
      </c>
      <c r="O31" s="16"/>
      <c r="Q31" s="5"/>
      <c r="R31" s="4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x14ac:dyDescent="0.3">
      <c r="A32" s="10">
        <v>11</v>
      </c>
      <c r="B32" s="11" t="s">
        <v>3</v>
      </c>
      <c r="C32" s="5">
        <v>4</v>
      </c>
      <c r="D32" s="5"/>
      <c r="E32">
        <v>5</v>
      </c>
      <c r="G32">
        <v>5</v>
      </c>
      <c r="I32">
        <v>4</v>
      </c>
      <c r="K32">
        <v>50</v>
      </c>
      <c r="M32" s="5">
        <v>26.04</v>
      </c>
      <c r="N32">
        <f t="shared" si="2"/>
        <v>53.04</v>
      </c>
      <c r="O32" s="16"/>
      <c r="Q32" s="5"/>
      <c r="R32" s="4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x14ac:dyDescent="0.3">
      <c r="A33" s="10">
        <v>12</v>
      </c>
      <c r="B33" s="11" t="s">
        <v>2</v>
      </c>
      <c r="C33">
        <v>5</v>
      </c>
      <c r="E33">
        <v>4</v>
      </c>
      <c r="G33">
        <v>4</v>
      </c>
      <c r="I33">
        <v>5</v>
      </c>
      <c r="K33">
        <v>50</v>
      </c>
      <c r="M33">
        <v>25.48</v>
      </c>
      <c r="N33">
        <f t="shared" si="2"/>
        <v>52.480000000000004</v>
      </c>
      <c r="O33" s="16"/>
      <c r="Q33" s="5"/>
      <c r="R33" s="4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x14ac:dyDescent="0.3">
      <c r="A34">
        <v>13</v>
      </c>
      <c r="B34" s="2" t="s">
        <v>14</v>
      </c>
      <c r="C34">
        <v>4</v>
      </c>
      <c r="E34">
        <v>4</v>
      </c>
      <c r="G34">
        <v>4</v>
      </c>
      <c r="I34">
        <v>5</v>
      </c>
      <c r="K34">
        <v>50</v>
      </c>
      <c r="M34">
        <v>25.8</v>
      </c>
      <c r="N34">
        <f t="shared" si="2"/>
        <v>51.8</v>
      </c>
      <c r="O34" s="12"/>
      <c r="Q34" s="5"/>
      <c r="R34" s="4"/>
      <c r="S34" s="5"/>
      <c r="T34" s="4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x14ac:dyDescent="0.3">
      <c r="A35">
        <v>14</v>
      </c>
      <c r="B35" s="2" t="s">
        <v>7</v>
      </c>
      <c r="C35">
        <v>5</v>
      </c>
      <c r="D35" s="5"/>
      <c r="E35">
        <v>4</v>
      </c>
      <c r="G35">
        <v>5</v>
      </c>
      <c r="I35">
        <v>4</v>
      </c>
      <c r="K35">
        <v>20</v>
      </c>
      <c r="M35">
        <v>28.52</v>
      </c>
      <c r="N35">
        <f t="shared" si="2"/>
        <v>50.120000000000005</v>
      </c>
      <c r="O35" s="16"/>
      <c r="AE35" s="5"/>
      <c r="AF35" s="5"/>
      <c r="AG35" s="5"/>
      <c r="AH35" s="5"/>
    </row>
    <row r="36" spans="1:34" x14ac:dyDescent="0.3">
      <c r="A36">
        <v>15</v>
      </c>
      <c r="B36" s="4" t="s">
        <v>20</v>
      </c>
      <c r="C36">
        <v>5</v>
      </c>
      <c r="E36">
        <v>5</v>
      </c>
      <c r="G36">
        <v>5</v>
      </c>
      <c r="I36">
        <v>5</v>
      </c>
      <c r="K36">
        <v>0</v>
      </c>
      <c r="M36">
        <v>28.08</v>
      </c>
      <c r="N36">
        <f t="shared" si="2"/>
        <v>48.08</v>
      </c>
      <c r="O36" s="12"/>
      <c r="AE36" s="5"/>
      <c r="AF36" s="5"/>
      <c r="AG36" s="5"/>
      <c r="AH36" s="5"/>
    </row>
    <row r="37" spans="1:34" x14ac:dyDescent="0.3">
      <c r="A37">
        <v>16</v>
      </c>
      <c r="B37" s="2" t="s">
        <v>11</v>
      </c>
      <c r="C37">
        <v>5</v>
      </c>
      <c r="E37">
        <v>5</v>
      </c>
      <c r="G37">
        <v>5</v>
      </c>
      <c r="I37">
        <v>4</v>
      </c>
      <c r="K37">
        <v>0</v>
      </c>
      <c r="M37">
        <v>26.119999999999997</v>
      </c>
      <c r="N37">
        <f t="shared" si="2"/>
        <v>45.12</v>
      </c>
      <c r="O37" s="12"/>
      <c r="AE37" s="5"/>
      <c r="AF37" s="5"/>
      <c r="AG37" s="5"/>
      <c r="AH37" s="5"/>
    </row>
    <row r="38" spans="1:34" x14ac:dyDescent="0.3">
      <c r="A38">
        <v>17</v>
      </c>
      <c r="B38" s="4" t="s">
        <v>21</v>
      </c>
      <c r="C38">
        <v>4</v>
      </c>
      <c r="E38">
        <v>5</v>
      </c>
      <c r="G38">
        <v>4</v>
      </c>
      <c r="I38">
        <v>4</v>
      </c>
      <c r="K38">
        <v>20</v>
      </c>
      <c r="M38">
        <v>19.84</v>
      </c>
      <c r="N38">
        <f t="shared" si="2"/>
        <v>40.44</v>
      </c>
      <c r="O38" s="16"/>
      <c r="AE38" s="5"/>
      <c r="AF38" s="5"/>
      <c r="AG38" s="5"/>
      <c r="AH38" s="5"/>
    </row>
    <row r="39" spans="1:34" x14ac:dyDescent="0.3">
      <c r="A39">
        <v>18</v>
      </c>
      <c r="B39" s="2" t="s">
        <v>24</v>
      </c>
      <c r="C39" s="5">
        <v>4</v>
      </c>
      <c r="D39" s="5"/>
      <c r="E39">
        <v>4</v>
      </c>
      <c r="G39">
        <v>4</v>
      </c>
      <c r="I39">
        <v>5</v>
      </c>
      <c r="K39">
        <v>0</v>
      </c>
      <c r="M39" s="5">
        <v>21.24</v>
      </c>
      <c r="N39">
        <f t="shared" si="2"/>
        <v>38.239999999999995</v>
      </c>
      <c r="AE39" s="5"/>
      <c r="AF39" s="5"/>
      <c r="AG39" s="5"/>
      <c r="AH39" s="5"/>
    </row>
    <row r="40" spans="1:34" x14ac:dyDescent="0.3">
      <c r="B40" s="2"/>
      <c r="AE40" s="5"/>
      <c r="AF40" s="5"/>
      <c r="AG40" s="5"/>
      <c r="AH40" s="5"/>
    </row>
    <row r="41" spans="1:34" x14ac:dyDescent="0.3">
      <c r="AE41" s="5"/>
      <c r="AF41" s="5"/>
      <c r="AG41" s="5"/>
      <c r="AH41" s="5"/>
    </row>
    <row r="42" spans="1:34" x14ac:dyDescent="0.3">
      <c r="AE42" s="5"/>
      <c r="AF42" s="5"/>
      <c r="AG42" s="5"/>
      <c r="AH42" s="5"/>
    </row>
    <row r="43" spans="1:34" x14ac:dyDescent="0.3">
      <c r="AE43" s="5"/>
      <c r="AF43" s="5"/>
      <c r="AG43" s="5"/>
      <c r="AH43" s="5"/>
    </row>
    <row r="91" spans="2:4" x14ac:dyDescent="0.3">
      <c r="B91" s="2"/>
      <c r="D91" s="2"/>
    </row>
    <row r="92" spans="2:4" x14ac:dyDescent="0.3">
      <c r="B92" s="2"/>
      <c r="D92" s="2"/>
    </row>
    <row r="179" spans="1:2" x14ac:dyDescent="0.3">
      <c r="A179" s="5"/>
      <c r="B179" s="4"/>
    </row>
  </sheetData>
  <sortState xmlns:xlrd2="http://schemas.microsoft.com/office/spreadsheetml/2017/richdata2" ref="A22:N39">
    <sortCondition descending="1" ref="N22:N39"/>
  </sortState>
  <mergeCells count="1">
    <mergeCell ref="R9:S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李济丞</dc:creator>
  <cp:lastModifiedBy>济丞 李</cp:lastModifiedBy>
  <dcterms:created xsi:type="dcterms:W3CDTF">2015-06-05T18:19:34Z</dcterms:created>
  <dcterms:modified xsi:type="dcterms:W3CDTF">2025-12-29T06:58:04Z</dcterms:modified>
</cp:coreProperties>
</file>