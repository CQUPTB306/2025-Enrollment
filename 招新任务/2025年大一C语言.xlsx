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25811\Desktop\2025年实验室招新\招新任务\"/>
    </mc:Choice>
  </mc:AlternateContent>
  <xr:revisionPtr revIDLastSave="0" documentId="13_ncr:1_{7695841E-9352-46ED-B1F3-4CD883D58F53}" xr6:coauthVersionLast="47" xr6:coauthVersionMax="47" xr10:uidLastSave="{00000000-0000-0000-0000-000000000000}"/>
  <bookViews>
    <workbookView xWindow="38280" yWindow="1170" windowWidth="38640" windowHeight="21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104" i="1" l="1"/>
  <c r="O2" i="1"/>
  <c r="O26" i="1"/>
  <c r="O29" i="1"/>
  <c r="O33" i="1"/>
  <c r="O34" i="1"/>
  <c r="O44" i="1"/>
  <c r="O55" i="1"/>
  <c r="O57" i="1"/>
  <c r="O58" i="1"/>
  <c r="O59" i="1"/>
  <c r="O60" i="1"/>
  <c r="O61" i="1"/>
  <c r="O62" i="1"/>
  <c r="O83" i="1"/>
  <c r="O97" i="1"/>
  <c r="O99" i="1"/>
  <c r="O100" i="1"/>
  <c r="L66" i="1"/>
  <c r="L67" i="1"/>
  <c r="M66" i="1"/>
  <c r="O66" i="1" s="1"/>
  <c r="M67" i="1"/>
  <c r="O67" i="1" s="1"/>
  <c r="M28" i="1"/>
  <c r="O28" i="1" s="1"/>
  <c r="M80" i="1"/>
  <c r="O80" i="1" s="1"/>
  <c r="M32" i="1"/>
  <c r="O32" i="1" s="1"/>
  <c r="M56" i="1"/>
  <c r="O56" i="1" s="1"/>
  <c r="M17" i="1"/>
  <c r="O17" i="1" s="1"/>
  <c r="M20" i="1"/>
  <c r="O20" i="1" s="1"/>
  <c r="AD3" i="1"/>
  <c r="AF3" i="1" s="1"/>
  <c r="M26" i="1"/>
  <c r="M29" i="1"/>
  <c r="AD4" i="1"/>
  <c r="AF4" i="1" s="1"/>
  <c r="AD5" i="1"/>
  <c r="AF5" i="1" s="1"/>
  <c r="M50" i="1"/>
  <c r="O50" i="1" s="1"/>
  <c r="M51" i="1"/>
  <c r="O51" i="1" s="1"/>
  <c r="AD6" i="1"/>
  <c r="AF6" i="1" s="1"/>
  <c r="AD7" i="1"/>
  <c r="AF7" i="1" s="1"/>
  <c r="M70" i="1"/>
  <c r="O70" i="1" s="1"/>
  <c r="M89" i="1"/>
  <c r="O89" i="1" s="1"/>
  <c r="M97" i="1"/>
  <c r="AD8" i="1"/>
  <c r="AF8" i="1" s="1"/>
  <c r="M102" i="1"/>
  <c r="O102" i="1" s="1"/>
  <c r="M104" i="1"/>
  <c r="O104" i="1" s="1"/>
  <c r="L103" i="1"/>
  <c r="M103" i="1" s="1"/>
  <c r="O103" i="1" s="1"/>
  <c r="L101" i="1"/>
  <c r="M101" i="1" s="1"/>
  <c r="O101" i="1" s="1"/>
  <c r="L100" i="1"/>
  <c r="M100" i="1" s="1"/>
  <c r="L99" i="1"/>
  <c r="M99" i="1" s="1"/>
  <c r="L98" i="1"/>
  <c r="M98" i="1" s="1"/>
  <c r="O98" i="1" s="1"/>
  <c r="L96" i="1"/>
  <c r="M96" i="1" s="1"/>
  <c r="O96" i="1" s="1"/>
  <c r="L95" i="1"/>
  <c r="M95" i="1" s="1"/>
  <c r="O95" i="1" s="1"/>
  <c r="L94" i="1"/>
  <c r="M94" i="1" s="1"/>
  <c r="O94" i="1" s="1"/>
  <c r="L93" i="1"/>
  <c r="M93" i="1" s="1"/>
  <c r="O93" i="1" s="1"/>
  <c r="L92" i="1"/>
  <c r="M92" i="1" s="1"/>
  <c r="O92" i="1" s="1"/>
  <c r="L91" i="1"/>
  <c r="M91" i="1" s="1"/>
  <c r="O91" i="1" s="1"/>
  <c r="L90" i="1"/>
  <c r="M90" i="1" s="1"/>
  <c r="O90" i="1" s="1"/>
  <c r="L89" i="1"/>
  <c r="L88" i="1"/>
  <c r="M88" i="1" s="1"/>
  <c r="O88" i="1" s="1"/>
  <c r="L87" i="1"/>
  <c r="M87" i="1" s="1"/>
  <c r="O87" i="1" s="1"/>
  <c r="L86" i="1"/>
  <c r="M86" i="1" s="1"/>
  <c r="O86" i="1" s="1"/>
  <c r="L85" i="1"/>
  <c r="M85" i="1" s="1"/>
  <c r="O85" i="1" s="1"/>
  <c r="L84" i="1"/>
  <c r="M84" i="1" s="1"/>
  <c r="O84" i="1" s="1"/>
  <c r="L83" i="1"/>
  <c r="M83" i="1" s="1"/>
  <c r="L82" i="1"/>
  <c r="M82" i="1" s="1"/>
  <c r="O82" i="1" s="1"/>
  <c r="L81" i="1"/>
  <c r="M81" i="1" s="1"/>
  <c r="O81" i="1" s="1"/>
  <c r="L79" i="1"/>
  <c r="M79" i="1" s="1"/>
  <c r="O79" i="1" s="1"/>
  <c r="L78" i="1"/>
  <c r="M78" i="1" s="1"/>
  <c r="O78" i="1" s="1"/>
  <c r="L77" i="1"/>
  <c r="M77" i="1" s="1"/>
  <c r="O77" i="1" s="1"/>
  <c r="L76" i="1"/>
  <c r="M76" i="1" s="1"/>
  <c r="O76" i="1" s="1"/>
  <c r="L75" i="1"/>
  <c r="M75" i="1" s="1"/>
  <c r="O75" i="1" s="1"/>
  <c r="L74" i="1"/>
  <c r="M74" i="1" s="1"/>
  <c r="O74" i="1" s="1"/>
  <c r="L73" i="1"/>
  <c r="M73" i="1" s="1"/>
  <c r="O73" i="1" s="1"/>
  <c r="L72" i="1"/>
  <c r="M72" i="1" s="1"/>
  <c r="O72" i="1" s="1"/>
  <c r="L71" i="1"/>
  <c r="M71" i="1" s="1"/>
  <c r="O71" i="1" s="1"/>
  <c r="L69" i="1"/>
  <c r="M69" i="1" s="1"/>
  <c r="O69" i="1" s="1"/>
  <c r="L68" i="1"/>
  <c r="M68" i="1" s="1"/>
  <c r="O68" i="1" s="1"/>
  <c r="L65" i="1"/>
  <c r="M65" i="1" s="1"/>
  <c r="O65" i="1" s="1"/>
  <c r="L64" i="1"/>
  <c r="M64" i="1" s="1"/>
  <c r="O64" i="1" s="1"/>
  <c r="L63" i="1"/>
  <c r="M63" i="1" s="1"/>
  <c r="O63" i="1" s="1"/>
  <c r="L62" i="1"/>
  <c r="M62" i="1" s="1"/>
  <c r="L61" i="1"/>
  <c r="M61" i="1" s="1"/>
  <c r="L60" i="1"/>
  <c r="M60" i="1" s="1"/>
  <c r="L59" i="1"/>
  <c r="M59" i="1" s="1"/>
  <c r="L58" i="1"/>
  <c r="M58" i="1" s="1"/>
  <c r="L57" i="1"/>
  <c r="M57" i="1" s="1"/>
  <c r="L55" i="1"/>
  <c r="M55" i="1" s="1"/>
  <c r="L54" i="1"/>
  <c r="M54" i="1" s="1"/>
  <c r="O54" i="1" s="1"/>
  <c r="L53" i="1"/>
  <c r="M53" i="1" s="1"/>
  <c r="O53" i="1" s="1"/>
  <c r="L52" i="1"/>
  <c r="M52" i="1" s="1"/>
  <c r="O52" i="1" s="1"/>
  <c r="L49" i="1"/>
  <c r="M49" i="1" s="1"/>
  <c r="O49" i="1" s="1"/>
  <c r="L48" i="1"/>
  <c r="M48" i="1" s="1"/>
  <c r="O48" i="1" s="1"/>
  <c r="L47" i="1"/>
  <c r="M47" i="1" s="1"/>
  <c r="O47" i="1" s="1"/>
  <c r="L46" i="1"/>
  <c r="M46" i="1" s="1"/>
  <c r="O46" i="1" s="1"/>
  <c r="L45" i="1"/>
  <c r="M45" i="1" s="1"/>
  <c r="O45" i="1" s="1"/>
  <c r="L44" i="1"/>
  <c r="M44" i="1" s="1"/>
  <c r="L43" i="1"/>
  <c r="M43" i="1" s="1"/>
  <c r="O43" i="1" s="1"/>
  <c r="L42" i="1"/>
  <c r="M42" i="1" s="1"/>
  <c r="O42" i="1" s="1"/>
  <c r="L41" i="1"/>
  <c r="M41" i="1" s="1"/>
  <c r="O41" i="1" s="1"/>
  <c r="L40" i="1"/>
  <c r="M40" i="1" s="1"/>
  <c r="O40" i="1" s="1"/>
  <c r="L39" i="1"/>
  <c r="M39" i="1" s="1"/>
  <c r="O39" i="1" s="1"/>
  <c r="L38" i="1"/>
  <c r="M38" i="1" s="1"/>
  <c r="O38" i="1" s="1"/>
  <c r="L37" i="1"/>
  <c r="M37" i="1" s="1"/>
  <c r="O37" i="1" s="1"/>
  <c r="L36" i="1"/>
  <c r="M36" i="1" s="1"/>
  <c r="O36" i="1" s="1"/>
  <c r="L35" i="1"/>
  <c r="M35" i="1" s="1"/>
  <c r="O35" i="1" s="1"/>
  <c r="L34" i="1"/>
  <c r="M34" i="1" s="1"/>
  <c r="L33" i="1"/>
  <c r="M33" i="1" s="1"/>
  <c r="L31" i="1"/>
  <c r="M31" i="1" s="1"/>
  <c r="O31" i="1" s="1"/>
  <c r="L30" i="1"/>
  <c r="M30" i="1" s="1"/>
  <c r="O30" i="1" s="1"/>
  <c r="L27" i="1"/>
  <c r="M27" i="1" s="1"/>
  <c r="O27" i="1" s="1"/>
  <c r="L25" i="1"/>
  <c r="M25" i="1" s="1"/>
  <c r="O25" i="1" s="1"/>
  <c r="L24" i="1"/>
  <c r="M24" i="1" s="1"/>
  <c r="O24" i="1" s="1"/>
  <c r="L23" i="1"/>
  <c r="M23" i="1" s="1"/>
  <c r="O23" i="1" s="1"/>
  <c r="L22" i="1"/>
  <c r="M22" i="1" s="1"/>
  <c r="O22" i="1" s="1"/>
  <c r="L21" i="1"/>
  <c r="M21" i="1" s="1"/>
  <c r="O21" i="1" s="1"/>
  <c r="L19" i="1"/>
  <c r="M19" i="1" s="1"/>
  <c r="O19" i="1" s="1"/>
  <c r="L18" i="1"/>
  <c r="M18" i="1" s="1"/>
  <c r="O18" i="1" s="1"/>
  <c r="L16" i="1"/>
  <c r="M16" i="1" s="1"/>
  <c r="O16" i="1" s="1"/>
  <c r="L15" i="1"/>
  <c r="M15" i="1" s="1"/>
  <c r="O15" i="1" s="1"/>
  <c r="L14" i="1"/>
  <c r="M14" i="1" s="1"/>
  <c r="O14" i="1" s="1"/>
  <c r="L13" i="1"/>
  <c r="M13" i="1" s="1"/>
  <c r="O13" i="1" s="1"/>
  <c r="L12" i="1"/>
  <c r="M12" i="1" s="1"/>
  <c r="O12" i="1" s="1"/>
  <c r="L11" i="1"/>
  <c r="M11" i="1" s="1"/>
  <c r="O11" i="1" s="1"/>
  <c r="L10" i="1"/>
  <c r="M10" i="1" s="1"/>
  <c r="O10" i="1" s="1"/>
  <c r="L9" i="1"/>
  <c r="M9" i="1" s="1"/>
  <c r="O9" i="1" s="1"/>
  <c r="L8" i="1"/>
  <c r="M8" i="1" s="1"/>
  <c r="O8" i="1" s="1"/>
  <c r="L7" i="1"/>
  <c r="M7" i="1" s="1"/>
  <c r="O7" i="1" s="1"/>
  <c r="L6" i="1"/>
  <c r="M6" i="1" s="1"/>
  <c r="O6" i="1" s="1"/>
  <c r="L5" i="1"/>
  <c r="M5" i="1" s="1"/>
  <c r="O5" i="1" s="1"/>
  <c r="L4" i="1"/>
  <c r="M4" i="1" s="1"/>
  <c r="O4" i="1" s="1"/>
  <c r="L3" i="1"/>
  <c r="M3" i="1" s="1"/>
  <c r="O3" i="1" s="1"/>
  <c r="L2" i="1"/>
  <c r="M2" i="1" s="1"/>
</calcChain>
</file>

<file path=xl/sharedStrings.xml><?xml version="1.0" encoding="utf-8"?>
<sst xmlns="http://schemas.openxmlformats.org/spreadsheetml/2006/main" count="155" uniqueCount="140">
  <si>
    <t>姓名（必填）</t>
  </si>
  <si>
    <t>蔡义春</t>
  </si>
  <si>
    <t>曾欣妍</t>
  </si>
  <si>
    <t>常昊</t>
  </si>
  <si>
    <t>陈麟枫</t>
  </si>
  <si>
    <t>陈柳宏</t>
  </si>
  <si>
    <t>陈奕霏</t>
  </si>
  <si>
    <t>陈奕文</t>
  </si>
  <si>
    <t>邓皓文</t>
  </si>
  <si>
    <t>邓钦予</t>
  </si>
  <si>
    <t>邓钰涛</t>
  </si>
  <si>
    <t>丁鑫宇</t>
  </si>
  <si>
    <t>冯思睿</t>
  </si>
  <si>
    <t>冯宗浩</t>
  </si>
  <si>
    <t>符尉通</t>
  </si>
  <si>
    <t>高培元</t>
  </si>
  <si>
    <t>韩佳杉</t>
  </si>
  <si>
    <t>何雨真</t>
  </si>
  <si>
    <t>胡彬洋</t>
  </si>
  <si>
    <t>胡浩</t>
  </si>
  <si>
    <t>胡世豪</t>
  </si>
  <si>
    <t>胡玉威</t>
  </si>
  <si>
    <t>胡子扬</t>
  </si>
  <si>
    <t>华梓琳</t>
  </si>
  <si>
    <t>黄书恒</t>
  </si>
  <si>
    <t>黄婉铃</t>
  </si>
  <si>
    <t>黄子鸣</t>
  </si>
  <si>
    <t>蒋荣</t>
  </si>
  <si>
    <t>蒋修敬</t>
  </si>
  <si>
    <t>黎思旭</t>
  </si>
  <si>
    <t>李昊伦</t>
  </si>
  <si>
    <t>李宏红</t>
  </si>
  <si>
    <t>李君豪</t>
  </si>
  <si>
    <t>李思静</t>
  </si>
  <si>
    <t>李松墨</t>
  </si>
  <si>
    <t>李宇涵</t>
  </si>
  <si>
    <t>李雨乐</t>
  </si>
  <si>
    <t>李祯妍</t>
  </si>
  <si>
    <t>梁耀文</t>
  </si>
  <si>
    <t>梁译丹</t>
  </si>
  <si>
    <t>刘江彬</t>
  </si>
  <si>
    <t>刘明宇</t>
  </si>
  <si>
    <t>刘乾腾</t>
  </si>
  <si>
    <t>刘直松</t>
  </si>
  <si>
    <t>柳向东</t>
  </si>
  <si>
    <t>陆彦冰</t>
  </si>
  <si>
    <t>罗钞月</t>
  </si>
  <si>
    <t>罗冠</t>
  </si>
  <si>
    <t>罗浩铭</t>
  </si>
  <si>
    <t>马涛</t>
  </si>
  <si>
    <t>欧墁琳</t>
  </si>
  <si>
    <t>彭微茜</t>
  </si>
  <si>
    <t>彭钰博</t>
  </si>
  <si>
    <t>秦子翀</t>
  </si>
  <si>
    <t>邱新宇</t>
  </si>
  <si>
    <t>任子昂</t>
  </si>
  <si>
    <t>司长卓</t>
  </si>
  <si>
    <t>孙楷翔</t>
  </si>
  <si>
    <t>谭欣</t>
  </si>
  <si>
    <t>汤常煜</t>
  </si>
  <si>
    <t>唐诗琪</t>
  </si>
  <si>
    <t>滕葰航</t>
  </si>
  <si>
    <t>田茂堯</t>
  </si>
  <si>
    <t>万可欤</t>
  </si>
  <si>
    <t>汪中信</t>
  </si>
  <si>
    <t>王笏宸</t>
  </si>
  <si>
    <t>王嘉伟</t>
  </si>
  <si>
    <t>王俪尧</t>
  </si>
  <si>
    <t>王铃杰</t>
  </si>
  <si>
    <t>王舜泽</t>
  </si>
  <si>
    <t>王昕嵬</t>
  </si>
  <si>
    <t>王旭东</t>
  </si>
  <si>
    <t>王亚宁</t>
  </si>
  <si>
    <t>王宇杰</t>
  </si>
  <si>
    <t>温鑫然</t>
  </si>
  <si>
    <t>吴絮</t>
  </si>
  <si>
    <t>伍君杰</t>
  </si>
  <si>
    <t>武明正</t>
  </si>
  <si>
    <t>席伯骏</t>
  </si>
  <si>
    <t>夏艺芮</t>
  </si>
  <si>
    <t>徐诚铄</t>
  </si>
  <si>
    <t>徐辉</t>
  </si>
  <si>
    <t>徐智威</t>
  </si>
  <si>
    <t>许嘉</t>
  </si>
  <si>
    <t>阳雨芸</t>
  </si>
  <si>
    <t>杨安华</t>
  </si>
  <si>
    <t>杨丰豪</t>
  </si>
  <si>
    <t>杨紫安</t>
  </si>
  <si>
    <t>叶聿涵</t>
  </si>
  <si>
    <t>尹浩然</t>
  </si>
  <si>
    <t>游季霖</t>
  </si>
  <si>
    <t>游镓玮</t>
  </si>
  <si>
    <t>袁晨曦</t>
  </si>
  <si>
    <t>袁雪舰</t>
  </si>
  <si>
    <t>张炳燕</t>
  </si>
  <si>
    <t>张菲菲</t>
  </si>
  <si>
    <t>张鑫</t>
  </si>
  <si>
    <t>张逸翔</t>
  </si>
  <si>
    <t>张玉枫</t>
  </si>
  <si>
    <t>赵欣阳</t>
  </si>
  <si>
    <t>郑恺俊</t>
  </si>
  <si>
    <t>周放</t>
  </si>
  <si>
    <t>周梦晴</t>
  </si>
  <si>
    <t>朱康睿</t>
  </si>
  <si>
    <t>朱梦茜</t>
  </si>
  <si>
    <t>左洋</t>
  </si>
  <si>
    <t>task1</t>
    <phoneticPr fontId="1" type="noConversion"/>
  </si>
  <si>
    <t>task2</t>
    <phoneticPr fontId="1" type="noConversion"/>
  </si>
  <si>
    <t>task3</t>
    <phoneticPr fontId="1" type="noConversion"/>
  </si>
  <si>
    <t>task4</t>
    <phoneticPr fontId="1" type="noConversion"/>
  </si>
  <si>
    <t>备注</t>
  </si>
  <si>
    <t>备注</t>
    <phoneticPr fontId="1" type="noConversion"/>
  </si>
  <si>
    <t>章德昊</t>
  </si>
  <si>
    <t>卿雪莉</t>
    <phoneticPr fontId="1" type="noConversion"/>
  </si>
  <si>
    <t>王宇浩</t>
    <phoneticPr fontId="1" type="noConversion"/>
  </si>
  <si>
    <t>郭相君</t>
    <phoneticPr fontId="1" type="noConversion"/>
  </si>
  <si>
    <t>timeout</t>
    <phoneticPr fontId="1" type="noConversion"/>
  </si>
  <si>
    <t>总分</t>
    <phoneticPr fontId="1" type="noConversion"/>
  </si>
  <si>
    <t>笔试</t>
    <phoneticPr fontId="1" type="noConversion"/>
  </si>
  <si>
    <t>选择</t>
    <phoneticPr fontId="1" type="noConversion"/>
  </si>
  <si>
    <t>fibonacci result slightly wrong; test5 pointer dumped;</t>
    <phoneticPr fontId="1" type="noConversion"/>
  </si>
  <si>
    <t>pro</t>
    <phoneticPr fontId="1" type="noConversion"/>
  </si>
  <si>
    <t>test6 stack corruption</t>
    <phoneticPr fontId="1" type="noConversion"/>
  </si>
  <si>
    <t>loop ineffcient</t>
    <phoneticPr fontId="1" type="noConversion"/>
  </si>
  <si>
    <t>test5 answer swapped</t>
    <phoneticPr fontId="1" type="noConversion"/>
  </si>
  <si>
    <t>malloc dumped</t>
    <phoneticPr fontId="1" type="noConversion"/>
  </si>
  <si>
    <t>loop ineffecient</t>
    <phoneticPr fontId="1" type="noConversion"/>
  </si>
  <si>
    <t>test1 wrong input method</t>
  </si>
  <si>
    <t>test5 answer swapped</t>
  </si>
  <si>
    <t>fibonacci result slightly wrong</t>
    <phoneticPr fontId="1" type="noConversion"/>
  </si>
  <si>
    <t>submitted wrong pdf</t>
    <phoneticPr fontId="1" type="noConversion"/>
  </si>
  <si>
    <t>test1/test6 wrong input method</t>
    <phoneticPr fontId="1" type="noConversion"/>
  </si>
  <si>
    <t>test6 wrong input method</t>
    <phoneticPr fontId="1" type="noConversion"/>
  </si>
  <si>
    <t>why using system()?</t>
    <phoneticPr fontId="1" type="noConversion"/>
  </si>
  <si>
    <t>submitted wrong pdf</t>
  </si>
  <si>
    <t>test1 wrong input method</t>
    <phoneticPr fontId="1" type="noConversion"/>
  </si>
  <si>
    <t>grammar mistake</t>
    <phoneticPr fontId="1" type="noConversion"/>
  </si>
  <si>
    <t>test1/test5 wrong input method; stack around var corrupted;</t>
    <phoneticPr fontId="1" type="noConversion"/>
  </si>
  <si>
    <t>pro!</t>
    <phoneticPr fontId="1" type="noConversion"/>
  </si>
  <si>
    <t>没提交正确的源文件而是codeblocks工程，看不到源码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</si>
</sst>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rgb="FF000000"/>
      <name val="等线"/>
      <family val="3"/>
      <charset val="134"/>
      <scheme val="minor"/>
    </font>
    <font>
      <sz val="10"/>
      <color theme="1"/>
      <name val="等线"/>
      <family val="2"/>
      <scheme val="minor"/>
    </font>
    <font>
      <sz val="10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3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/>
    <xf numFmtId="0" fontId="0" fillId="3" borderId="0" xfId="0" applyFill="1"/>
    <xf numFmtId="0" fontId="2" fillId="3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0" fillId="0" borderId="0" xfId="0" applyFill="1"/>
    <xf numFmtId="0" fontId="4" fillId="0" borderId="0" xfId="0" applyFont="1" applyFill="1" applyAlignment="1">
      <alignment horizontal="left" vertical="center"/>
    </xf>
    <xf numFmtId="0" fontId="0" fillId="0" borderId="0" xfId="0" applyBorder="1"/>
    <xf numFmtId="0" fontId="0" fillId="0" borderId="0" xfId="0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99"/>
  <sheetViews>
    <sheetView tabSelected="1" zoomScaleNormal="100" workbookViewId="0">
      <selection activeCell="R20" sqref="R20"/>
    </sheetView>
  </sheetViews>
  <sheetFormatPr defaultRowHeight="14" x14ac:dyDescent="0.3"/>
  <cols>
    <col min="2" max="2" width="11.5" customWidth="1"/>
    <col min="4" max="4" width="12.4140625" customWidth="1"/>
    <col min="14" max="14" width="11.1640625" customWidth="1"/>
  </cols>
  <sheetData>
    <row r="1" spans="1:32" x14ac:dyDescent="0.3">
      <c r="B1" s="1" t="s">
        <v>0</v>
      </c>
      <c r="C1" t="s">
        <v>106</v>
      </c>
      <c r="D1" t="s">
        <v>111</v>
      </c>
      <c r="E1" t="s">
        <v>107</v>
      </c>
      <c r="F1" t="s">
        <v>110</v>
      </c>
      <c r="G1" t="s">
        <v>108</v>
      </c>
      <c r="H1" t="s">
        <v>110</v>
      </c>
      <c r="I1" t="s">
        <v>109</v>
      </c>
      <c r="J1" t="s">
        <v>110</v>
      </c>
      <c r="K1" t="s">
        <v>119</v>
      </c>
      <c r="L1" t="s">
        <v>118</v>
      </c>
      <c r="N1" t="s">
        <v>110</v>
      </c>
      <c r="O1" t="s">
        <v>117</v>
      </c>
      <c r="P1" t="s">
        <v>110</v>
      </c>
    </row>
    <row r="2" spans="1:32" x14ac:dyDescent="0.3">
      <c r="A2">
        <v>1</v>
      </c>
      <c r="B2" s="2" t="s">
        <v>1</v>
      </c>
      <c r="C2">
        <v>4</v>
      </c>
      <c r="E2">
        <v>4</v>
      </c>
      <c r="G2">
        <v>5</v>
      </c>
      <c r="I2">
        <v>4</v>
      </c>
      <c r="K2" s="9">
        <v>21</v>
      </c>
      <c r="L2" s="9">
        <f>SUM(0,0,0,0,0,0,0,0)</f>
        <v>0</v>
      </c>
      <c r="M2">
        <f t="shared" ref="M2:M33" si="0">K2+L2</f>
        <v>21</v>
      </c>
      <c r="O2">
        <f t="shared" ref="O2:O33" si="1">C2+E2+G2+I2+M2*0.12</f>
        <v>19.52</v>
      </c>
      <c r="Q2" s="7"/>
      <c r="R2" s="6"/>
      <c r="S2" s="7"/>
      <c r="T2" s="6"/>
      <c r="U2" s="7"/>
      <c r="V2" s="7"/>
      <c r="W2" s="7"/>
      <c r="X2" s="7"/>
      <c r="Y2" s="7"/>
      <c r="Z2" s="7"/>
      <c r="AA2" s="7"/>
      <c r="AB2" s="7"/>
      <c r="AC2" t="s">
        <v>119</v>
      </c>
      <c r="AD2" t="s">
        <v>118</v>
      </c>
    </row>
    <row r="3" spans="1:32" x14ac:dyDescent="0.3">
      <c r="A3">
        <v>2</v>
      </c>
      <c r="B3" s="2" t="s">
        <v>2</v>
      </c>
      <c r="C3">
        <v>4</v>
      </c>
      <c r="E3">
        <v>5</v>
      </c>
      <c r="G3">
        <v>5</v>
      </c>
      <c r="I3">
        <v>4</v>
      </c>
      <c r="K3" s="9">
        <v>21</v>
      </c>
      <c r="L3" s="9">
        <f>SUM(0,0,0,0,0,0,0,0)</f>
        <v>0</v>
      </c>
      <c r="M3">
        <f t="shared" si="0"/>
        <v>21</v>
      </c>
      <c r="O3">
        <f t="shared" si="1"/>
        <v>20.52</v>
      </c>
      <c r="Q3" s="7"/>
      <c r="R3" s="4">
        <v>1</v>
      </c>
      <c r="S3" s="5" t="s">
        <v>23</v>
      </c>
      <c r="T3">
        <v>4</v>
      </c>
      <c r="V3">
        <v>4</v>
      </c>
      <c r="X3">
        <v>5</v>
      </c>
      <c r="Z3">
        <v>5</v>
      </c>
      <c r="AB3" s="10"/>
      <c r="AC3" s="9"/>
      <c r="AD3">
        <f t="shared" ref="AD3:AD8" si="2">AB3+AC3</f>
        <v>0</v>
      </c>
      <c r="AF3">
        <f t="shared" ref="AF3:AF8" si="3">T3+V3+X3+Z3+AD3*0.053</f>
        <v>18</v>
      </c>
    </row>
    <row r="4" spans="1:32" x14ac:dyDescent="0.3">
      <c r="A4">
        <v>3</v>
      </c>
      <c r="B4" s="6" t="s">
        <v>3</v>
      </c>
      <c r="C4">
        <v>4</v>
      </c>
      <c r="E4">
        <v>4</v>
      </c>
      <c r="G4">
        <v>5</v>
      </c>
      <c r="I4">
        <v>5</v>
      </c>
      <c r="K4" s="9">
        <v>21</v>
      </c>
      <c r="L4" s="9">
        <f>SUM(0,0,10,10,10,0,0,0)</f>
        <v>30</v>
      </c>
      <c r="M4">
        <f t="shared" si="0"/>
        <v>51</v>
      </c>
      <c r="N4" t="s">
        <v>120</v>
      </c>
      <c r="O4">
        <f t="shared" si="1"/>
        <v>24.12</v>
      </c>
      <c r="Q4" s="7"/>
      <c r="R4" s="4">
        <v>2</v>
      </c>
      <c r="S4" s="5" t="s">
        <v>45</v>
      </c>
      <c r="T4">
        <v>4</v>
      </c>
      <c r="V4">
        <v>4</v>
      </c>
      <c r="X4">
        <v>4</v>
      </c>
      <c r="Z4">
        <v>4</v>
      </c>
      <c r="AB4" s="10"/>
      <c r="AC4" s="9"/>
      <c r="AD4">
        <f t="shared" si="2"/>
        <v>0</v>
      </c>
      <c r="AE4" s="2"/>
      <c r="AF4">
        <f t="shared" si="3"/>
        <v>16</v>
      </c>
    </row>
    <row r="5" spans="1:32" x14ac:dyDescent="0.3">
      <c r="A5">
        <v>4</v>
      </c>
      <c r="B5" s="2" t="s">
        <v>4</v>
      </c>
      <c r="C5">
        <v>5</v>
      </c>
      <c r="E5">
        <v>5</v>
      </c>
      <c r="G5">
        <v>5</v>
      </c>
      <c r="I5">
        <v>4</v>
      </c>
      <c r="K5" s="9">
        <v>24</v>
      </c>
      <c r="L5" s="9">
        <f>SUM(0,5,10,10,10,10,10,10)</f>
        <v>65</v>
      </c>
      <c r="M5">
        <f t="shared" si="0"/>
        <v>89</v>
      </c>
      <c r="N5" t="s">
        <v>121</v>
      </c>
      <c r="O5">
        <f t="shared" si="1"/>
        <v>29.68</v>
      </c>
      <c r="R5" s="4">
        <v>3</v>
      </c>
      <c r="S5" s="5" t="s">
        <v>49</v>
      </c>
      <c r="T5">
        <v>4</v>
      </c>
      <c r="V5">
        <v>0</v>
      </c>
      <c r="X5">
        <v>4</v>
      </c>
      <c r="Z5">
        <v>4</v>
      </c>
      <c r="AB5" s="10"/>
      <c r="AC5" s="9"/>
      <c r="AD5">
        <f t="shared" si="2"/>
        <v>0</v>
      </c>
      <c r="AE5" s="2"/>
      <c r="AF5">
        <f t="shared" si="3"/>
        <v>12</v>
      </c>
    </row>
    <row r="6" spans="1:32" x14ac:dyDescent="0.3">
      <c r="A6">
        <v>5</v>
      </c>
      <c r="B6" s="2" t="s">
        <v>5</v>
      </c>
      <c r="C6">
        <v>4</v>
      </c>
      <c r="E6">
        <v>5</v>
      </c>
      <c r="G6">
        <v>5</v>
      </c>
      <c r="I6">
        <v>4</v>
      </c>
      <c r="K6" s="9">
        <v>9</v>
      </c>
      <c r="L6" s="9">
        <f>SUM(0,0,0,0,0,0,0,0)</f>
        <v>0</v>
      </c>
      <c r="M6">
        <f t="shared" si="0"/>
        <v>9</v>
      </c>
      <c r="O6">
        <f t="shared" si="1"/>
        <v>19.079999999999998</v>
      </c>
      <c r="R6" s="4">
        <v>4</v>
      </c>
      <c r="S6" s="5" t="s">
        <v>62</v>
      </c>
      <c r="T6">
        <v>4</v>
      </c>
      <c r="V6">
        <v>4</v>
      </c>
      <c r="X6">
        <v>5</v>
      </c>
      <c r="Z6">
        <v>4</v>
      </c>
      <c r="AB6" s="10"/>
      <c r="AC6" s="9"/>
      <c r="AD6">
        <f t="shared" si="2"/>
        <v>0</v>
      </c>
      <c r="AF6">
        <f t="shared" si="3"/>
        <v>17</v>
      </c>
    </row>
    <row r="7" spans="1:32" x14ac:dyDescent="0.3">
      <c r="A7">
        <v>6</v>
      </c>
      <c r="B7" s="2" t="s">
        <v>6</v>
      </c>
      <c r="C7">
        <v>4</v>
      </c>
      <c r="E7">
        <v>4</v>
      </c>
      <c r="G7">
        <v>4</v>
      </c>
      <c r="I7">
        <v>4</v>
      </c>
      <c r="K7" s="9">
        <v>3</v>
      </c>
      <c r="L7" s="9">
        <f>SUM(0,0,0,0,0,0,10,0)</f>
        <v>10</v>
      </c>
      <c r="M7">
        <f t="shared" si="0"/>
        <v>13</v>
      </c>
      <c r="O7">
        <f t="shared" si="1"/>
        <v>17.559999999999999</v>
      </c>
      <c r="R7" s="4">
        <v>5</v>
      </c>
      <c r="S7" s="5" t="s">
        <v>66</v>
      </c>
      <c r="T7">
        <v>4</v>
      </c>
      <c r="V7">
        <v>5</v>
      </c>
      <c r="X7">
        <v>5</v>
      </c>
      <c r="Z7">
        <v>5</v>
      </c>
      <c r="AB7" s="10"/>
      <c r="AC7" s="9"/>
      <c r="AD7">
        <f t="shared" si="2"/>
        <v>0</v>
      </c>
      <c r="AF7">
        <f t="shared" si="3"/>
        <v>19</v>
      </c>
    </row>
    <row r="8" spans="1:32" x14ac:dyDescent="0.3">
      <c r="A8">
        <v>7</v>
      </c>
      <c r="B8" s="2" t="s">
        <v>7</v>
      </c>
      <c r="C8">
        <v>5</v>
      </c>
      <c r="E8">
        <v>5</v>
      </c>
      <c r="G8">
        <v>5</v>
      </c>
      <c r="I8">
        <v>5</v>
      </c>
      <c r="K8" s="9">
        <v>21</v>
      </c>
      <c r="L8" s="9">
        <f>SUM(5,0,0,10,0,0,10,0)</f>
        <v>25</v>
      </c>
      <c r="M8">
        <f t="shared" si="0"/>
        <v>46</v>
      </c>
      <c r="O8">
        <f t="shared" si="1"/>
        <v>25.52</v>
      </c>
      <c r="R8" s="4">
        <v>6</v>
      </c>
      <c r="S8" s="5" t="s">
        <v>101</v>
      </c>
      <c r="T8">
        <v>4</v>
      </c>
      <c r="V8">
        <v>4</v>
      </c>
      <c r="X8">
        <v>4</v>
      </c>
      <c r="Z8">
        <v>4</v>
      </c>
      <c r="AB8" s="10"/>
      <c r="AC8" s="9"/>
      <c r="AD8">
        <f t="shared" si="2"/>
        <v>0</v>
      </c>
      <c r="AF8">
        <f t="shared" si="3"/>
        <v>16</v>
      </c>
    </row>
    <row r="9" spans="1:32" x14ac:dyDescent="0.3">
      <c r="A9">
        <v>8</v>
      </c>
      <c r="B9" s="2" t="s">
        <v>8</v>
      </c>
      <c r="C9">
        <v>4</v>
      </c>
      <c r="E9">
        <v>4</v>
      </c>
      <c r="G9">
        <v>5</v>
      </c>
      <c r="I9">
        <v>5</v>
      </c>
      <c r="K9" s="9">
        <v>15</v>
      </c>
      <c r="L9" s="9">
        <f>SUM(0,0,0,0,0,0,10,0)</f>
        <v>10</v>
      </c>
      <c r="M9">
        <f t="shared" si="0"/>
        <v>25</v>
      </c>
      <c r="N9" t="s">
        <v>122</v>
      </c>
      <c r="O9">
        <f t="shared" si="1"/>
        <v>21</v>
      </c>
    </row>
    <row r="10" spans="1:32" x14ac:dyDescent="0.3">
      <c r="A10">
        <v>9</v>
      </c>
      <c r="B10" s="2" t="s">
        <v>9</v>
      </c>
      <c r="C10">
        <v>4</v>
      </c>
      <c r="E10">
        <v>5</v>
      </c>
      <c r="G10">
        <v>5</v>
      </c>
      <c r="I10">
        <v>5</v>
      </c>
      <c r="K10" s="9">
        <v>24</v>
      </c>
      <c r="L10" s="9">
        <f>SUM(0,0,10,10,0,10,0,0)</f>
        <v>30</v>
      </c>
      <c r="M10">
        <f t="shared" si="0"/>
        <v>54</v>
      </c>
      <c r="N10" t="s">
        <v>123</v>
      </c>
      <c r="O10">
        <f t="shared" si="1"/>
        <v>25.48</v>
      </c>
    </row>
    <row r="11" spans="1:32" x14ac:dyDescent="0.3">
      <c r="A11">
        <v>10</v>
      </c>
      <c r="B11" s="2" t="s">
        <v>10</v>
      </c>
      <c r="C11">
        <v>4</v>
      </c>
      <c r="E11">
        <v>4</v>
      </c>
      <c r="G11">
        <v>4</v>
      </c>
      <c r="I11">
        <v>4</v>
      </c>
      <c r="K11" s="9">
        <v>18</v>
      </c>
      <c r="L11" s="9">
        <f>SUM(0,0,0,0,0,10,10,0)</f>
        <v>20</v>
      </c>
      <c r="M11">
        <f t="shared" si="0"/>
        <v>38</v>
      </c>
      <c r="O11">
        <f t="shared" si="1"/>
        <v>20.56</v>
      </c>
      <c r="Q11" s="7"/>
      <c r="R11" s="6"/>
      <c r="S11" s="7"/>
      <c r="T11" s="6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</row>
    <row r="12" spans="1:32" x14ac:dyDescent="0.3">
      <c r="A12">
        <v>11</v>
      </c>
      <c r="B12" s="2" t="s">
        <v>11</v>
      </c>
      <c r="C12">
        <v>4</v>
      </c>
      <c r="E12">
        <v>5</v>
      </c>
      <c r="G12">
        <v>5</v>
      </c>
      <c r="I12">
        <v>5</v>
      </c>
      <c r="K12" s="9">
        <v>21</v>
      </c>
      <c r="L12" s="9">
        <f>SUM(0,0,0,10,0,0,10,0)</f>
        <v>20</v>
      </c>
      <c r="M12">
        <f t="shared" si="0"/>
        <v>41</v>
      </c>
      <c r="O12">
        <f t="shared" si="1"/>
        <v>23.92</v>
      </c>
      <c r="Q12" s="7"/>
      <c r="R12" s="6"/>
      <c r="S12" s="7"/>
      <c r="T12" s="6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</row>
    <row r="13" spans="1:32" x14ac:dyDescent="0.3">
      <c r="A13">
        <v>12</v>
      </c>
      <c r="B13" s="2" t="s">
        <v>12</v>
      </c>
      <c r="C13">
        <v>4</v>
      </c>
      <c r="E13">
        <v>5</v>
      </c>
      <c r="G13">
        <v>5</v>
      </c>
      <c r="I13">
        <v>5</v>
      </c>
      <c r="K13" s="9">
        <v>15</v>
      </c>
      <c r="L13" s="9">
        <f>SUM(0,0,0,10,10,10,10,0)</f>
        <v>40</v>
      </c>
      <c r="M13">
        <f t="shared" si="0"/>
        <v>55</v>
      </c>
      <c r="O13">
        <f t="shared" si="1"/>
        <v>25.6</v>
      </c>
      <c r="Q13" s="7"/>
      <c r="R13" s="6"/>
      <c r="S13" s="7"/>
      <c r="T13" s="6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</row>
    <row r="14" spans="1:32" x14ac:dyDescent="0.3">
      <c r="A14">
        <v>13</v>
      </c>
      <c r="B14" s="2" t="s">
        <v>13</v>
      </c>
      <c r="C14">
        <v>4</v>
      </c>
      <c r="E14">
        <v>5</v>
      </c>
      <c r="G14">
        <v>5</v>
      </c>
      <c r="I14">
        <v>5</v>
      </c>
      <c r="K14" s="9">
        <v>21</v>
      </c>
      <c r="L14" s="9">
        <f>SUM(0,0,0,0,0,0,0,0)</f>
        <v>0</v>
      </c>
      <c r="M14">
        <f t="shared" si="0"/>
        <v>21</v>
      </c>
      <c r="N14" t="s">
        <v>124</v>
      </c>
      <c r="O14">
        <f t="shared" si="1"/>
        <v>21.52</v>
      </c>
      <c r="Q14" s="7"/>
      <c r="R14" s="6"/>
      <c r="S14" s="7"/>
      <c r="T14" s="6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</row>
    <row r="15" spans="1:32" x14ac:dyDescent="0.3">
      <c r="A15">
        <v>14</v>
      </c>
      <c r="B15" s="2" t="s">
        <v>14</v>
      </c>
      <c r="C15">
        <v>5</v>
      </c>
      <c r="E15">
        <v>5</v>
      </c>
      <c r="G15">
        <v>5</v>
      </c>
      <c r="I15">
        <v>5</v>
      </c>
      <c r="K15" s="9">
        <v>12</v>
      </c>
      <c r="L15" s="9">
        <f>SUM(0,0,0,0,0,0,10,0)</f>
        <v>10</v>
      </c>
      <c r="M15">
        <f t="shared" si="0"/>
        <v>22</v>
      </c>
      <c r="O15">
        <f t="shared" si="1"/>
        <v>22.64</v>
      </c>
      <c r="Q15" s="7"/>
      <c r="R15" s="7"/>
      <c r="S15" s="7"/>
      <c r="T15" s="6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</row>
    <row r="16" spans="1:32" x14ac:dyDescent="0.3">
      <c r="A16">
        <v>15</v>
      </c>
      <c r="B16" s="2" t="s">
        <v>15</v>
      </c>
      <c r="C16">
        <v>4</v>
      </c>
      <c r="E16">
        <v>5</v>
      </c>
      <c r="G16">
        <v>4</v>
      </c>
      <c r="I16">
        <v>5</v>
      </c>
      <c r="K16" s="9">
        <v>21</v>
      </c>
      <c r="L16" s="9">
        <f>SUM(5,0,10,0,10,10,10,10)</f>
        <v>55</v>
      </c>
      <c r="M16">
        <f t="shared" si="0"/>
        <v>76</v>
      </c>
      <c r="O16">
        <f t="shared" si="1"/>
        <v>27.119999999999997</v>
      </c>
      <c r="Q16" s="7"/>
      <c r="R16" s="6"/>
      <c r="S16" s="7"/>
      <c r="T16" s="6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</row>
    <row r="17" spans="1:31" x14ac:dyDescent="0.3">
      <c r="A17">
        <v>16</v>
      </c>
      <c r="B17" s="2" t="s">
        <v>115</v>
      </c>
      <c r="C17">
        <v>4</v>
      </c>
      <c r="E17">
        <v>4</v>
      </c>
      <c r="G17">
        <v>5</v>
      </c>
      <c r="I17">
        <v>5</v>
      </c>
      <c r="K17" s="9">
        <v>15</v>
      </c>
      <c r="L17" s="10">
        <v>12</v>
      </c>
      <c r="M17">
        <f t="shared" si="0"/>
        <v>27</v>
      </c>
      <c r="O17">
        <f t="shared" si="1"/>
        <v>21.24</v>
      </c>
      <c r="Q17" s="7"/>
      <c r="R17" s="6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</row>
    <row r="18" spans="1:31" x14ac:dyDescent="0.3">
      <c r="A18">
        <v>17</v>
      </c>
      <c r="B18" s="2" t="s">
        <v>16</v>
      </c>
      <c r="C18">
        <v>4</v>
      </c>
      <c r="E18">
        <v>4</v>
      </c>
      <c r="G18">
        <v>5</v>
      </c>
      <c r="I18">
        <v>4</v>
      </c>
      <c r="K18" s="9">
        <v>21</v>
      </c>
      <c r="L18" s="9">
        <f>SUM(0,0,0,0,0,0,0,0)</f>
        <v>0</v>
      </c>
      <c r="M18">
        <f t="shared" si="0"/>
        <v>21</v>
      </c>
      <c r="O18">
        <f t="shared" si="1"/>
        <v>19.52</v>
      </c>
      <c r="Q18" s="7"/>
      <c r="R18" s="6"/>
      <c r="S18" s="7"/>
      <c r="T18" s="6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</row>
    <row r="19" spans="1:31" x14ac:dyDescent="0.3">
      <c r="A19">
        <v>18</v>
      </c>
      <c r="B19" s="2" t="s">
        <v>17</v>
      </c>
      <c r="C19">
        <v>4</v>
      </c>
      <c r="E19">
        <v>5</v>
      </c>
      <c r="G19">
        <v>4</v>
      </c>
      <c r="I19">
        <v>4</v>
      </c>
      <c r="K19" s="9">
        <v>18</v>
      </c>
      <c r="L19" s="9">
        <f>SUM(0,0,0,0,10,10,10,0)</f>
        <v>30</v>
      </c>
      <c r="M19">
        <f t="shared" si="0"/>
        <v>48</v>
      </c>
      <c r="O19">
        <f t="shared" si="1"/>
        <v>22.759999999999998</v>
      </c>
      <c r="Q19" s="7"/>
      <c r="R19" s="6"/>
      <c r="S19" s="7"/>
      <c r="T19" s="6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</row>
    <row r="20" spans="1:31" x14ac:dyDescent="0.3">
      <c r="A20">
        <v>19</v>
      </c>
      <c r="B20" s="2" t="s">
        <v>18</v>
      </c>
      <c r="C20">
        <v>4</v>
      </c>
      <c r="E20">
        <v>4</v>
      </c>
      <c r="G20">
        <v>4</v>
      </c>
      <c r="I20">
        <v>4</v>
      </c>
      <c r="K20" s="9">
        <v>15</v>
      </c>
      <c r="L20" s="9"/>
      <c r="M20">
        <f t="shared" si="0"/>
        <v>15</v>
      </c>
      <c r="O20">
        <f t="shared" si="1"/>
        <v>17.8</v>
      </c>
      <c r="Q20" s="7"/>
      <c r="R20" s="6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</row>
    <row r="21" spans="1:31" x14ac:dyDescent="0.3">
      <c r="A21">
        <v>20</v>
      </c>
      <c r="B21" s="2" t="s">
        <v>19</v>
      </c>
      <c r="C21">
        <v>4</v>
      </c>
      <c r="E21">
        <v>4</v>
      </c>
      <c r="G21">
        <v>4</v>
      </c>
      <c r="I21">
        <v>5</v>
      </c>
      <c r="K21" s="9">
        <v>24</v>
      </c>
      <c r="L21" s="9">
        <f>SUM(0,0,0,0,0,0,10,0)</f>
        <v>10</v>
      </c>
      <c r="M21">
        <f t="shared" si="0"/>
        <v>34</v>
      </c>
      <c r="N21" t="s">
        <v>125</v>
      </c>
      <c r="O21">
        <f t="shared" si="1"/>
        <v>21.08</v>
      </c>
      <c r="Q21" s="7"/>
      <c r="R21" s="6"/>
      <c r="S21" s="7"/>
      <c r="T21" s="6"/>
      <c r="U21" s="7"/>
      <c r="V21" s="7"/>
      <c r="W21" s="7"/>
      <c r="X21" s="7"/>
      <c r="Y21" s="7"/>
      <c r="Z21" s="7"/>
      <c r="AA21" s="7"/>
      <c r="AB21" s="7"/>
      <c r="AC21" s="7"/>
      <c r="AD21" s="6"/>
      <c r="AE21" s="7"/>
    </row>
    <row r="22" spans="1:31" x14ac:dyDescent="0.3">
      <c r="A22">
        <v>21</v>
      </c>
      <c r="B22" s="2" t="s">
        <v>20</v>
      </c>
      <c r="C22">
        <v>4</v>
      </c>
      <c r="E22">
        <v>4</v>
      </c>
      <c r="G22">
        <v>5</v>
      </c>
      <c r="I22">
        <v>5</v>
      </c>
      <c r="K22" s="9">
        <v>27</v>
      </c>
      <c r="L22" s="9">
        <f>SUM(0,0,0,10,10,10,10,0)</f>
        <v>40</v>
      </c>
      <c r="M22">
        <f t="shared" si="0"/>
        <v>67</v>
      </c>
      <c r="N22" t="s">
        <v>126</v>
      </c>
      <c r="O22">
        <f t="shared" si="1"/>
        <v>26.04</v>
      </c>
      <c r="Q22" s="7"/>
      <c r="R22" s="6"/>
      <c r="S22" s="7"/>
      <c r="T22" s="6"/>
      <c r="U22" s="7"/>
      <c r="V22" s="7"/>
      <c r="W22" s="7"/>
      <c r="X22" s="7"/>
      <c r="Y22" s="7"/>
      <c r="Z22" s="7"/>
      <c r="AA22" s="7"/>
      <c r="AB22" s="7"/>
      <c r="AC22" s="7"/>
      <c r="AD22" s="6"/>
      <c r="AE22" s="7"/>
    </row>
    <row r="23" spans="1:31" x14ac:dyDescent="0.3">
      <c r="A23">
        <v>22</v>
      </c>
      <c r="B23" s="2" t="s">
        <v>21</v>
      </c>
      <c r="C23">
        <v>5</v>
      </c>
      <c r="E23">
        <v>5</v>
      </c>
      <c r="G23">
        <v>5</v>
      </c>
      <c r="I23">
        <v>5</v>
      </c>
      <c r="K23" s="9">
        <v>21</v>
      </c>
      <c r="L23" s="9">
        <f>SUM(0,0,0,10,0,0,10,0)</f>
        <v>20</v>
      </c>
      <c r="M23">
        <f t="shared" si="0"/>
        <v>41</v>
      </c>
      <c r="O23">
        <f t="shared" si="1"/>
        <v>24.92</v>
      </c>
      <c r="Q23" s="7"/>
      <c r="R23" s="6"/>
      <c r="S23" s="7"/>
      <c r="T23" s="6"/>
      <c r="U23" s="7"/>
      <c r="V23" s="7"/>
      <c r="W23" s="7"/>
      <c r="X23" s="7"/>
      <c r="Y23" s="7"/>
      <c r="Z23" s="7"/>
      <c r="AA23" s="7"/>
      <c r="AB23" s="7"/>
      <c r="AC23" s="7"/>
      <c r="AD23" s="6"/>
      <c r="AE23" s="7"/>
    </row>
    <row r="24" spans="1:31" x14ac:dyDescent="0.3">
      <c r="A24">
        <v>23</v>
      </c>
      <c r="B24" s="2" t="s">
        <v>22</v>
      </c>
      <c r="C24">
        <v>4</v>
      </c>
      <c r="E24">
        <v>5</v>
      </c>
      <c r="G24">
        <v>5</v>
      </c>
      <c r="I24">
        <v>4</v>
      </c>
      <c r="K24" s="9">
        <v>12</v>
      </c>
      <c r="L24" s="9">
        <f>SUM(0,0,0,0,0,0,0,0)</f>
        <v>0</v>
      </c>
      <c r="M24">
        <f t="shared" si="0"/>
        <v>12</v>
      </c>
      <c r="O24">
        <f t="shared" si="1"/>
        <v>19.440000000000001</v>
      </c>
      <c r="Q24" s="7"/>
      <c r="R24" s="6"/>
      <c r="S24" s="7"/>
      <c r="T24" s="6"/>
      <c r="U24" s="7"/>
      <c r="V24" s="7"/>
      <c r="W24" s="7"/>
      <c r="X24" s="7"/>
      <c r="Y24" s="7"/>
      <c r="Z24" s="7"/>
      <c r="AA24" s="7"/>
      <c r="AB24" s="7"/>
      <c r="AC24" s="7"/>
      <c r="AD24" s="6"/>
      <c r="AE24" s="7"/>
    </row>
    <row r="25" spans="1:31" x14ac:dyDescent="0.3">
      <c r="A25">
        <v>24</v>
      </c>
      <c r="B25" s="2" t="s">
        <v>24</v>
      </c>
      <c r="C25">
        <v>4</v>
      </c>
      <c r="E25">
        <v>4</v>
      </c>
      <c r="G25">
        <v>5</v>
      </c>
      <c r="I25">
        <v>5</v>
      </c>
      <c r="K25" s="9">
        <v>18</v>
      </c>
      <c r="L25" s="9">
        <f>SUM(0,0,0,0,10,0,0,0)</f>
        <v>10</v>
      </c>
      <c r="M25">
        <f t="shared" si="0"/>
        <v>28</v>
      </c>
      <c r="O25">
        <f t="shared" si="1"/>
        <v>21.36</v>
      </c>
      <c r="Q25" s="7"/>
      <c r="R25" s="6"/>
      <c r="S25" s="7"/>
      <c r="T25" s="6"/>
      <c r="U25" s="7"/>
      <c r="V25" s="7"/>
      <c r="W25" s="7"/>
      <c r="X25" s="7"/>
      <c r="Y25" s="7"/>
      <c r="Z25" s="7"/>
      <c r="AA25" s="7"/>
      <c r="AB25" s="7"/>
      <c r="AC25" s="7"/>
      <c r="AD25" s="6"/>
      <c r="AE25" s="7"/>
    </row>
    <row r="26" spans="1:31" x14ac:dyDescent="0.3">
      <c r="A26">
        <v>25</v>
      </c>
      <c r="B26" s="2" t="s">
        <v>25</v>
      </c>
      <c r="C26">
        <v>4</v>
      </c>
      <c r="E26">
        <v>4</v>
      </c>
      <c r="G26">
        <v>4</v>
      </c>
      <c r="I26">
        <v>4</v>
      </c>
      <c r="K26" s="9">
        <v>12</v>
      </c>
      <c r="L26" s="9"/>
      <c r="M26">
        <f t="shared" si="0"/>
        <v>12</v>
      </c>
      <c r="O26">
        <f t="shared" si="1"/>
        <v>17.440000000000001</v>
      </c>
      <c r="Q26" s="7"/>
      <c r="R26" s="6"/>
      <c r="S26" s="7"/>
      <c r="T26" s="6"/>
      <c r="U26" s="7"/>
      <c r="V26" s="7"/>
      <c r="W26" s="7"/>
      <c r="X26" s="7"/>
      <c r="Y26" s="7"/>
      <c r="Z26" s="7"/>
      <c r="AA26" s="7"/>
      <c r="AB26" s="7"/>
      <c r="AC26" s="7"/>
      <c r="AD26" s="6"/>
      <c r="AE26" s="7"/>
    </row>
    <row r="27" spans="1:31" x14ac:dyDescent="0.3">
      <c r="A27">
        <v>26</v>
      </c>
      <c r="B27" s="6" t="s">
        <v>26</v>
      </c>
      <c r="C27">
        <v>5</v>
      </c>
      <c r="E27">
        <v>5</v>
      </c>
      <c r="G27">
        <v>0</v>
      </c>
      <c r="H27" t="s">
        <v>116</v>
      </c>
      <c r="I27">
        <v>4</v>
      </c>
      <c r="K27" s="9">
        <v>9</v>
      </c>
      <c r="L27" s="9">
        <f>SUM(0,0,0)</f>
        <v>0</v>
      </c>
      <c r="M27">
        <f t="shared" si="0"/>
        <v>9</v>
      </c>
      <c r="N27" t="s">
        <v>127</v>
      </c>
      <c r="O27">
        <f t="shared" si="1"/>
        <v>15.08</v>
      </c>
      <c r="Q27" s="7"/>
      <c r="R27" s="7"/>
      <c r="S27" s="7"/>
      <c r="T27" s="6"/>
      <c r="U27" s="7"/>
      <c r="V27" s="7"/>
      <c r="W27" s="7"/>
      <c r="X27" s="7"/>
      <c r="Y27" s="7"/>
      <c r="Z27" s="7"/>
      <c r="AA27" s="7"/>
      <c r="AB27" s="7"/>
      <c r="AC27" s="7"/>
      <c r="AD27" s="6"/>
      <c r="AE27" s="7"/>
    </row>
    <row r="28" spans="1:31" x14ac:dyDescent="0.3">
      <c r="A28">
        <v>27</v>
      </c>
      <c r="B28" s="6" t="s">
        <v>27</v>
      </c>
      <c r="C28">
        <v>5</v>
      </c>
      <c r="E28">
        <v>4</v>
      </c>
      <c r="G28">
        <v>4</v>
      </c>
      <c r="I28">
        <v>4</v>
      </c>
      <c r="K28">
        <v>0</v>
      </c>
      <c r="L28">
        <v>30</v>
      </c>
      <c r="M28">
        <f t="shared" si="0"/>
        <v>30</v>
      </c>
      <c r="O28">
        <f t="shared" si="1"/>
        <v>20.6</v>
      </c>
      <c r="Q28" s="7"/>
      <c r="R28" s="6"/>
      <c r="S28" s="7"/>
      <c r="T28" s="6"/>
      <c r="U28" s="7"/>
      <c r="V28" s="7"/>
      <c r="W28" s="7"/>
      <c r="X28" s="7"/>
      <c r="Y28" s="7"/>
      <c r="Z28" s="7"/>
      <c r="AA28" s="7"/>
      <c r="AB28" s="7"/>
      <c r="AC28" s="7"/>
      <c r="AD28" s="6"/>
      <c r="AE28" s="7"/>
    </row>
    <row r="29" spans="1:31" x14ac:dyDescent="0.3">
      <c r="A29">
        <v>28</v>
      </c>
      <c r="B29" s="2" t="s">
        <v>28</v>
      </c>
      <c r="C29">
        <v>4</v>
      </c>
      <c r="E29">
        <v>5</v>
      </c>
      <c r="G29">
        <v>4</v>
      </c>
      <c r="I29">
        <v>4</v>
      </c>
      <c r="K29" s="9">
        <v>12</v>
      </c>
      <c r="L29" s="9"/>
      <c r="M29">
        <f t="shared" si="0"/>
        <v>12</v>
      </c>
      <c r="O29">
        <f t="shared" si="1"/>
        <v>18.440000000000001</v>
      </c>
      <c r="Q29" s="7"/>
      <c r="R29" s="6"/>
      <c r="S29" s="7"/>
      <c r="T29" s="6"/>
      <c r="U29" s="7"/>
      <c r="V29" s="7"/>
      <c r="W29" s="7"/>
      <c r="X29" s="7"/>
      <c r="Y29" s="7"/>
      <c r="Z29" s="7"/>
      <c r="AA29" s="7"/>
      <c r="AB29" s="7"/>
      <c r="AC29" s="7"/>
      <c r="AD29" s="6"/>
      <c r="AE29" s="7"/>
    </row>
    <row r="30" spans="1:31" x14ac:dyDescent="0.3">
      <c r="A30">
        <v>29</v>
      </c>
      <c r="B30" s="2" t="s">
        <v>29</v>
      </c>
      <c r="C30">
        <v>4</v>
      </c>
      <c r="E30">
        <v>4</v>
      </c>
      <c r="G30">
        <v>4</v>
      </c>
      <c r="I30">
        <v>4</v>
      </c>
      <c r="K30" s="9">
        <v>9</v>
      </c>
      <c r="L30" s="9">
        <f>SUM(0,0,0,0,0,0,0,0)</f>
        <v>0</v>
      </c>
      <c r="M30">
        <f t="shared" si="0"/>
        <v>9</v>
      </c>
      <c r="O30">
        <f t="shared" si="1"/>
        <v>17.079999999999998</v>
      </c>
      <c r="Q30" s="7"/>
      <c r="R30" s="6"/>
      <c r="S30" s="7"/>
      <c r="T30" s="6"/>
      <c r="U30" s="7"/>
      <c r="V30" s="7"/>
      <c r="W30" s="7"/>
      <c r="X30" s="7"/>
      <c r="Y30" s="7"/>
      <c r="Z30" s="7"/>
      <c r="AA30" s="7"/>
      <c r="AB30" s="7"/>
      <c r="AC30" s="7"/>
      <c r="AD30" s="6"/>
      <c r="AE30" s="7"/>
    </row>
    <row r="31" spans="1:31" x14ac:dyDescent="0.3">
      <c r="A31">
        <v>30</v>
      </c>
      <c r="B31" s="2" t="s">
        <v>30</v>
      </c>
      <c r="C31">
        <v>4</v>
      </c>
      <c r="E31">
        <v>5</v>
      </c>
      <c r="G31">
        <v>4</v>
      </c>
      <c r="I31">
        <v>4</v>
      </c>
      <c r="K31" s="9">
        <v>18</v>
      </c>
      <c r="L31" s="9">
        <f>SUM(0,0,0,10,0,10,10,0)</f>
        <v>30</v>
      </c>
      <c r="M31">
        <f t="shared" si="0"/>
        <v>48</v>
      </c>
      <c r="O31">
        <f t="shared" si="1"/>
        <v>22.759999999999998</v>
      </c>
      <c r="Q31" s="7"/>
      <c r="R31" s="6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</row>
    <row r="32" spans="1:31" x14ac:dyDescent="0.3">
      <c r="A32">
        <v>31</v>
      </c>
      <c r="B32" s="6" t="s">
        <v>31</v>
      </c>
      <c r="C32">
        <v>4</v>
      </c>
      <c r="E32">
        <v>4</v>
      </c>
      <c r="G32">
        <v>4</v>
      </c>
      <c r="I32">
        <v>0</v>
      </c>
      <c r="J32" t="s">
        <v>116</v>
      </c>
      <c r="K32">
        <v>6</v>
      </c>
      <c r="L32">
        <v>15</v>
      </c>
      <c r="M32">
        <f t="shared" si="0"/>
        <v>21</v>
      </c>
      <c r="O32">
        <f t="shared" si="1"/>
        <v>14.52</v>
      </c>
      <c r="Q32" s="7"/>
      <c r="R32" s="6"/>
      <c r="S32" s="7"/>
      <c r="T32" s="6"/>
      <c r="U32" s="7"/>
      <c r="V32" s="7"/>
      <c r="W32" s="7"/>
      <c r="X32" s="7"/>
      <c r="Y32" s="7"/>
      <c r="Z32" s="7"/>
      <c r="AA32" s="7"/>
      <c r="AB32" s="7"/>
      <c r="AC32" s="7"/>
      <c r="AD32" s="6"/>
      <c r="AE32" s="7"/>
    </row>
    <row r="33" spans="1:31" x14ac:dyDescent="0.3">
      <c r="A33">
        <v>32</v>
      </c>
      <c r="B33" s="2" t="s">
        <v>32</v>
      </c>
      <c r="C33">
        <v>4</v>
      </c>
      <c r="E33">
        <v>4</v>
      </c>
      <c r="G33">
        <v>4</v>
      </c>
      <c r="I33">
        <v>4</v>
      </c>
      <c r="K33" s="9">
        <v>15</v>
      </c>
      <c r="L33" s="9">
        <f>SUM(0,0,0,0,0,0,0,0)</f>
        <v>0</v>
      </c>
      <c r="M33">
        <f t="shared" si="0"/>
        <v>15</v>
      </c>
      <c r="N33" s="2"/>
      <c r="O33">
        <f t="shared" si="1"/>
        <v>17.8</v>
      </c>
      <c r="Q33" s="7"/>
      <c r="R33" s="6"/>
      <c r="S33" s="7"/>
      <c r="T33" s="6"/>
      <c r="U33" s="7"/>
      <c r="V33" s="7"/>
      <c r="W33" s="7"/>
      <c r="X33" s="7"/>
      <c r="Y33" s="7"/>
      <c r="Z33" s="7"/>
      <c r="AA33" s="7"/>
      <c r="AB33" s="7"/>
      <c r="AC33" s="7"/>
      <c r="AD33" s="6"/>
      <c r="AE33" s="7"/>
    </row>
    <row r="34" spans="1:31" x14ac:dyDescent="0.3">
      <c r="A34">
        <v>33</v>
      </c>
      <c r="B34" s="2" t="s">
        <v>33</v>
      </c>
      <c r="C34">
        <v>4</v>
      </c>
      <c r="E34">
        <v>4</v>
      </c>
      <c r="G34">
        <v>4</v>
      </c>
      <c r="I34">
        <v>4</v>
      </c>
      <c r="K34" s="9">
        <v>21</v>
      </c>
      <c r="L34" s="9">
        <f>SUM(0,0,0,0,0,0,0,0)</f>
        <v>0</v>
      </c>
      <c r="M34">
        <f t="shared" ref="M34:M65" si="4">K34+L34</f>
        <v>21</v>
      </c>
      <c r="N34" s="2"/>
      <c r="O34">
        <f t="shared" ref="O34:O65" si="5">C34+E34+G34+I34+M34*0.12</f>
        <v>18.52</v>
      </c>
      <c r="Q34" s="7"/>
      <c r="R34" s="6"/>
      <c r="S34" s="7"/>
      <c r="T34" s="6"/>
      <c r="U34" s="7"/>
      <c r="V34" s="7"/>
      <c r="W34" s="7"/>
      <c r="X34" s="7"/>
      <c r="Y34" s="7"/>
      <c r="Z34" s="7"/>
      <c r="AA34" s="7"/>
      <c r="AB34" s="7"/>
      <c r="AC34" s="7"/>
      <c r="AD34" s="6"/>
      <c r="AE34" s="7"/>
    </row>
    <row r="35" spans="1:31" x14ac:dyDescent="0.3">
      <c r="A35">
        <v>34</v>
      </c>
      <c r="B35" s="2" t="s">
        <v>34</v>
      </c>
      <c r="C35">
        <v>4</v>
      </c>
      <c r="E35">
        <v>5</v>
      </c>
      <c r="G35">
        <v>5</v>
      </c>
      <c r="I35">
        <v>5</v>
      </c>
      <c r="K35" s="9">
        <v>21</v>
      </c>
      <c r="L35" s="9">
        <f>SUM(0,0,10,10,0,10,10,10)</f>
        <v>50</v>
      </c>
      <c r="M35">
        <f t="shared" si="4"/>
        <v>71</v>
      </c>
      <c r="N35" s="2"/>
      <c r="O35">
        <f t="shared" si="5"/>
        <v>27.52</v>
      </c>
      <c r="Q35" s="7"/>
      <c r="R35" s="6"/>
      <c r="S35" s="7"/>
      <c r="T35" s="6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</row>
    <row r="36" spans="1:31" x14ac:dyDescent="0.3">
      <c r="A36">
        <v>35</v>
      </c>
      <c r="B36" s="2" t="s">
        <v>35</v>
      </c>
      <c r="C36">
        <v>5</v>
      </c>
      <c r="E36">
        <v>4</v>
      </c>
      <c r="G36">
        <v>5</v>
      </c>
      <c r="I36">
        <v>4</v>
      </c>
      <c r="K36" s="9">
        <v>12</v>
      </c>
      <c r="L36" s="9">
        <f>SUM(0,0,0,10,10,10,10,10)</f>
        <v>50</v>
      </c>
      <c r="M36">
        <f t="shared" si="4"/>
        <v>62</v>
      </c>
      <c r="N36" s="2"/>
      <c r="O36">
        <f t="shared" si="5"/>
        <v>25.439999999999998</v>
      </c>
      <c r="Q36" s="7"/>
      <c r="R36" s="6"/>
      <c r="S36" s="7"/>
      <c r="T36" s="6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</row>
    <row r="37" spans="1:31" x14ac:dyDescent="0.3">
      <c r="A37">
        <v>36</v>
      </c>
      <c r="B37" s="2" t="s">
        <v>36</v>
      </c>
      <c r="C37">
        <v>4</v>
      </c>
      <c r="E37">
        <v>5</v>
      </c>
      <c r="G37">
        <v>5</v>
      </c>
      <c r="I37">
        <v>5</v>
      </c>
      <c r="K37" s="9">
        <v>15</v>
      </c>
      <c r="L37" s="9">
        <f>SUM(0,0,0,10,10,0,10,0)</f>
        <v>30</v>
      </c>
      <c r="M37">
        <f t="shared" si="4"/>
        <v>45</v>
      </c>
      <c r="N37" s="2"/>
      <c r="O37">
        <f t="shared" si="5"/>
        <v>24.4</v>
      </c>
      <c r="Q37" s="7"/>
      <c r="R37" s="6"/>
      <c r="S37" s="7"/>
      <c r="T37" s="6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</row>
    <row r="38" spans="1:31" x14ac:dyDescent="0.3">
      <c r="A38">
        <v>37</v>
      </c>
      <c r="B38" s="2" t="s">
        <v>37</v>
      </c>
      <c r="C38">
        <v>4</v>
      </c>
      <c r="E38">
        <v>5</v>
      </c>
      <c r="G38">
        <v>5</v>
      </c>
      <c r="I38">
        <v>4</v>
      </c>
      <c r="K38" s="9">
        <v>15</v>
      </c>
      <c r="L38" s="9">
        <f>SUM(0,0,10,10,10,10,10,10)</f>
        <v>60</v>
      </c>
      <c r="M38">
        <f t="shared" si="4"/>
        <v>75</v>
      </c>
      <c r="N38" s="2"/>
      <c r="O38">
        <f t="shared" si="5"/>
        <v>27</v>
      </c>
      <c r="Q38" s="7"/>
      <c r="R38" s="6"/>
      <c r="S38" s="7"/>
      <c r="T38" s="6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</row>
    <row r="39" spans="1:31" x14ac:dyDescent="0.3">
      <c r="A39">
        <v>38</v>
      </c>
      <c r="B39" s="2" t="s">
        <v>38</v>
      </c>
      <c r="C39">
        <v>4</v>
      </c>
      <c r="E39">
        <v>5</v>
      </c>
      <c r="G39">
        <v>4</v>
      </c>
      <c r="I39">
        <v>4</v>
      </c>
      <c r="K39" s="9">
        <v>24</v>
      </c>
      <c r="L39" s="9">
        <f>SUM(0,0,0,0,0,0,0,0)</f>
        <v>0</v>
      </c>
      <c r="M39">
        <f t="shared" si="4"/>
        <v>24</v>
      </c>
      <c r="N39" s="2"/>
      <c r="O39">
        <f t="shared" si="5"/>
        <v>19.88</v>
      </c>
      <c r="Q39" s="7"/>
      <c r="R39" s="8"/>
      <c r="S39" s="7"/>
      <c r="T39" s="6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</row>
    <row r="40" spans="1:31" x14ac:dyDescent="0.3">
      <c r="A40">
        <v>39</v>
      </c>
      <c r="B40" s="2" t="s">
        <v>39</v>
      </c>
      <c r="C40">
        <v>4</v>
      </c>
      <c r="E40">
        <v>4</v>
      </c>
      <c r="G40">
        <v>5</v>
      </c>
      <c r="I40">
        <v>5</v>
      </c>
      <c r="K40" s="9">
        <v>18</v>
      </c>
      <c r="L40" s="9">
        <f>SUM(0,0,0,0,0,0,0,0)</f>
        <v>0</v>
      </c>
      <c r="M40">
        <f t="shared" si="4"/>
        <v>18</v>
      </c>
      <c r="N40" s="2"/>
      <c r="O40">
        <f t="shared" si="5"/>
        <v>20.16</v>
      </c>
      <c r="Q40" s="7"/>
      <c r="R40" s="6"/>
      <c r="S40" s="7"/>
      <c r="T40" s="6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</row>
    <row r="41" spans="1:31" x14ac:dyDescent="0.3">
      <c r="A41">
        <v>40</v>
      </c>
      <c r="B41" s="6" t="s">
        <v>40</v>
      </c>
      <c r="C41">
        <v>4</v>
      </c>
      <c r="E41">
        <v>0</v>
      </c>
      <c r="F41" t="s">
        <v>116</v>
      </c>
      <c r="G41">
        <v>4</v>
      </c>
      <c r="I41">
        <v>4</v>
      </c>
      <c r="K41" s="9">
        <v>18</v>
      </c>
      <c r="L41" s="9">
        <f>SUM(0,0,0,0,0,10,0,0,0)</f>
        <v>10</v>
      </c>
      <c r="M41">
        <f t="shared" si="4"/>
        <v>28</v>
      </c>
      <c r="N41" s="2"/>
      <c r="O41">
        <f t="shared" si="5"/>
        <v>15.36</v>
      </c>
      <c r="Q41" s="7"/>
      <c r="R41" s="6"/>
      <c r="S41" s="7"/>
      <c r="T41" s="6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</row>
    <row r="42" spans="1:31" x14ac:dyDescent="0.3">
      <c r="A42">
        <v>41</v>
      </c>
      <c r="B42" s="2" t="s">
        <v>41</v>
      </c>
      <c r="C42">
        <v>5</v>
      </c>
      <c r="E42">
        <v>5</v>
      </c>
      <c r="G42">
        <v>4</v>
      </c>
      <c r="I42">
        <v>5</v>
      </c>
      <c r="K42" s="9">
        <v>12</v>
      </c>
      <c r="L42" s="9">
        <f>SUM(10,0,0,)</f>
        <v>10</v>
      </c>
      <c r="M42">
        <f t="shared" si="4"/>
        <v>22</v>
      </c>
      <c r="N42" s="2"/>
      <c r="O42">
        <f t="shared" si="5"/>
        <v>21.64</v>
      </c>
      <c r="Q42" s="7"/>
      <c r="R42" s="6"/>
      <c r="S42" s="7"/>
      <c r="T42" s="6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</row>
    <row r="43" spans="1:31" x14ac:dyDescent="0.3">
      <c r="A43">
        <v>42</v>
      </c>
      <c r="B43" s="2" t="s">
        <v>42</v>
      </c>
      <c r="C43">
        <v>4</v>
      </c>
      <c r="E43">
        <v>5</v>
      </c>
      <c r="G43">
        <v>5</v>
      </c>
      <c r="I43">
        <v>5</v>
      </c>
      <c r="K43" s="9">
        <v>12</v>
      </c>
      <c r="L43" s="9">
        <f>SUM(0,0,0,10,0,10,0,0)</f>
        <v>20</v>
      </c>
      <c r="M43">
        <f t="shared" si="4"/>
        <v>32</v>
      </c>
      <c r="N43" s="2" t="s">
        <v>128</v>
      </c>
      <c r="O43">
        <f t="shared" si="5"/>
        <v>22.84</v>
      </c>
      <c r="Q43" s="7"/>
      <c r="R43" s="6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</row>
    <row r="44" spans="1:31" x14ac:dyDescent="0.3">
      <c r="A44">
        <v>43</v>
      </c>
      <c r="B44" s="2" t="s">
        <v>43</v>
      </c>
      <c r="C44">
        <v>4</v>
      </c>
      <c r="E44">
        <v>4</v>
      </c>
      <c r="G44">
        <v>4</v>
      </c>
      <c r="I44">
        <v>4</v>
      </c>
      <c r="K44" s="9">
        <v>15</v>
      </c>
      <c r="L44" s="9">
        <f>SUM(0,0,0,0,10,0,10,0)</f>
        <v>20</v>
      </c>
      <c r="M44">
        <f t="shared" si="4"/>
        <v>35</v>
      </c>
      <c r="N44" s="2" t="s">
        <v>129</v>
      </c>
      <c r="O44">
        <f t="shared" si="5"/>
        <v>20.2</v>
      </c>
      <c r="Q44" s="7"/>
      <c r="R44" s="6"/>
      <c r="S44" s="7"/>
      <c r="T44" s="6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</row>
    <row r="45" spans="1:31" x14ac:dyDescent="0.3">
      <c r="A45">
        <v>44</v>
      </c>
      <c r="B45" s="2" t="s">
        <v>44</v>
      </c>
      <c r="C45">
        <v>4</v>
      </c>
      <c r="E45">
        <v>5</v>
      </c>
      <c r="G45">
        <v>5</v>
      </c>
      <c r="I45">
        <v>5</v>
      </c>
      <c r="K45" s="9">
        <v>15</v>
      </c>
      <c r="L45" s="9">
        <f>SUM(5,0,0,0,0,0,10,0)</f>
        <v>15</v>
      </c>
      <c r="M45">
        <f t="shared" si="4"/>
        <v>30</v>
      </c>
      <c r="N45" s="2"/>
      <c r="O45">
        <f t="shared" si="5"/>
        <v>22.6</v>
      </c>
      <c r="Q45" s="7"/>
      <c r="R45" s="6"/>
      <c r="S45" s="7"/>
      <c r="T45" s="6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</row>
    <row r="46" spans="1:31" x14ac:dyDescent="0.3">
      <c r="A46">
        <v>45</v>
      </c>
      <c r="B46" s="2" t="s">
        <v>46</v>
      </c>
      <c r="C46">
        <v>4</v>
      </c>
      <c r="E46">
        <v>5</v>
      </c>
      <c r="G46">
        <v>4</v>
      </c>
      <c r="I46">
        <v>5</v>
      </c>
      <c r="K46" s="9">
        <v>15</v>
      </c>
      <c r="L46" s="9">
        <f>SUM(0,0,0,0,0,0,0,0)</f>
        <v>0</v>
      </c>
      <c r="M46">
        <f t="shared" si="4"/>
        <v>15</v>
      </c>
      <c r="N46" s="2"/>
      <c r="O46">
        <f t="shared" si="5"/>
        <v>19.8</v>
      </c>
      <c r="Q46" s="7"/>
    </row>
    <row r="47" spans="1:31" x14ac:dyDescent="0.3">
      <c r="A47">
        <v>46</v>
      </c>
      <c r="B47" s="2" t="s">
        <v>47</v>
      </c>
      <c r="C47">
        <v>4</v>
      </c>
      <c r="E47">
        <v>5</v>
      </c>
      <c r="G47">
        <v>4</v>
      </c>
      <c r="I47">
        <v>5</v>
      </c>
      <c r="K47" s="9">
        <v>24</v>
      </c>
      <c r="L47" s="9">
        <f>SUM(0,0,0,10,10,10,0,0)</f>
        <v>30</v>
      </c>
      <c r="M47">
        <f t="shared" si="4"/>
        <v>54</v>
      </c>
      <c r="N47" s="2"/>
      <c r="O47">
        <f t="shared" si="5"/>
        <v>24.48</v>
      </c>
    </row>
    <row r="48" spans="1:31" x14ac:dyDescent="0.3">
      <c r="A48">
        <v>47</v>
      </c>
      <c r="B48" s="6" t="s">
        <v>48</v>
      </c>
      <c r="C48">
        <v>4</v>
      </c>
      <c r="E48">
        <v>4</v>
      </c>
      <c r="G48">
        <v>4</v>
      </c>
      <c r="I48">
        <v>4</v>
      </c>
      <c r="K48" s="9">
        <v>9</v>
      </c>
      <c r="L48" s="9">
        <f>SUM(0,0,0,10,0,0,10,0)</f>
        <v>20</v>
      </c>
      <c r="M48">
        <f t="shared" si="4"/>
        <v>29</v>
      </c>
      <c r="O48">
        <f t="shared" si="5"/>
        <v>19.48</v>
      </c>
    </row>
    <row r="49" spans="1:31" x14ac:dyDescent="0.3">
      <c r="A49">
        <v>48</v>
      </c>
      <c r="B49" s="2" t="s">
        <v>50</v>
      </c>
      <c r="C49">
        <v>4</v>
      </c>
      <c r="E49">
        <v>4</v>
      </c>
      <c r="G49">
        <v>4</v>
      </c>
      <c r="I49">
        <v>5</v>
      </c>
      <c r="K49" s="9">
        <v>21</v>
      </c>
      <c r="L49" s="9">
        <f>SUM(0,0,0,0,0,0,10,0)</f>
        <v>10</v>
      </c>
      <c r="M49">
        <f t="shared" si="4"/>
        <v>31</v>
      </c>
      <c r="N49" s="2" t="s">
        <v>129</v>
      </c>
      <c r="O49">
        <f t="shared" si="5"/>
        <v>20.72</v>
      </c>
    </row>
    <row r="50" spans="1:31" x14ac:dyDescent="0.3">
      <c r="A50">
        <v>49</v>
      </c>
      <c r="B50" s="2" t="s">
        <v>51</v>
      </c>
      <c r="C50">
        <v>4</v>
      </c>
      <c r="E50">
        <v>4</v>
      </c>
      <c r="G50">
        <v>4</v>
      </c>
      <c r="I50">
        <v>4</v>
      </c>
      <c r="K50" s="9">
        <v>12</v>
      </c>
      <c r="L50" s="9">
        <v>0</v>
      </c>
      <c r="M50">
        <f t="shared" si="4"/>
        <v>12</v>
      </c>
      <c r="N50" s="2" t="s">
        <v>130</v>
      </c>
      <c r="O50">
        <f t="shared" si="5"/>
        <v>17.440000000000001</v>
      </c>
    </row>
    <row r="51" spans="1:31" x14ac:dyDescent="0.3">
      <c r="A51">
        <v>50</v>
      </c>
      <c r="B51" s="2" t="s">
        <v>52</v>
      </c>
      <c r="C51">
        <v>4</v>
      </c>
      <c r="E51">
        <v>4</v>
      </c>
      <c r="G51">
        <v>4</v>
      </c>
      <c r="I51">
        <v>4</v>
      </c>
      <c r="K51" s="9">
        <v>24</v>
      </c>
      <c r="L51" s="9"/>
      <c r="M51">
        <f t="shared" si="4"/>
        <v>24</v>
      </c>
      <c r="N51" s="2"/>
      <c r="O51">
        <f t="shared" si="5"/>
        <v>18.88</v>
      </c>
      <c r="S51" s="7"/>
      <c r="T51" s="6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</row>
    <row r="52" spans="1:31" x14ac:dyDescent="0.3">
      <c r="A52">
        <v>51</v>
      </c>
      <c r="B52" s="2" t="s">
        <v>53</v>
      </c>
      <c r="C52">
        <v>4</v>
      </c>
      <c r="E52">
        <v>5</v>
      </c>
      <c r="G52">
        <v>5</v>
      </c>
      <c r="I52">
        <v>5</v>
      </c>
      <c r="K52" s="9">
        <v>18</v>
      </c>
      <c r="L52" s="9">
        <f>SUM(0,0,0,10,0,0,0,0)</f>
        <v>10</v>
      </c>
      <c r="M52">
        <f t="shared" si="4"/>
        <v>28</v>
      </c>
      <c r="N52" s="2"/>
      <c r="O52">
        <f t="shared" si="5"/>
        <v>22.36</v>
      </c>
      <c r="S52" s="7"/>
      <c r="T52" s="6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</row>
    <row r="53" spans="1:31" x14ac:dyDescent="0.3">
      <c r="A53">
        <v>52</v>
      </c>
      <c r="B53" s="2" t="s">
        <v>113</v>
      </c>
      <c r="C53">
        <v>5</v>
      </c>
      <c r="E53">
        <v>5</v>
      </c>
      <c r="G53">
        <v>4</v>
      </c>
      <c r="I53">
        <v>5</v>
      </c>
      <c r="K53" s="9">
        <v>15</v>
      </c>
      <c r="L53" s="9">
        <f>SUM(0,0,0,0,0,0,10,0)</f>
        <v>10</v>
      </c>
      <c r="M53">
        <f t="shared" si="4"/>
        <v>25</v>
      </c>
      <c r="N53" s="2" t="s">
        <v>131</v>
      </c>
      <c r="O53">
        <f t="shared" si="5"/>
        <v>22</v>
      </c>
      <c r="S53" s="7"/>
      <c r="T53" s="6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</row>
    <row r="54" spans="1:31" x14ac:dyDescent="0.3">
      <c r="A54">
        <v>53</v>
      </c>
      <c r="B54" s="2" t="s">
        <v>54</v>
      </c>
      <c r="C54">
        <v>4</v>
      </c>
      <c r="E54">
        <v>4</v>
      </c>
      <c r="G54">
        <v>5</v>
      </c>
      <c r="I54">
        <v>5</v>
      </c>
      <c r="K54" s="9">
        <v>18</v>
      </c>
      <c r="L54" s="9">
        <f>SUM(0,0,0,0,0,0,0,0)</f>
        <v>0</v>
      </c>
      <c r="M54">
        <f t="shared" si="4"/>
        <v>18</v>
      </c>
      <c r="N54" s="2"/>
      <c r="O54">
        <f t="shared" si="5"/>
        <v>20.16</v>
      </c>
      <c r="S54" s="7"/>
      <c r="T54" s="6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</row>
    <row r="55" spans="1:31" x14ac:dyDescent="0.3">
      <c r="A55">
        <v>54</v>
      </c>
      <c r="B55" s="2" t="s">
        <v>55</v>
      </c>
      <c r="C55">
        <v>5</v>
      </c>
      <c r="E55">
        <v>5</v>
      </c>
      <c r="G55">
        <v>5</v>
      </c>
      <c r="I55">
        <v>5</v>
      </c>
      <c r="K55" s="9">
        <v>21</v>
      </c>
      <c r="L55" s="9">
        <f>SUM(0,0,10,10,0,10,10,10)</f>
        <v>50</v>
      </c>
      <c r="M55">
        <f t="shared" si="4"/>
        <v>71</v>
      </c>
      <c r="N55" s="2"/>
      <c r="O55">
        <f t="shared" si="5"/>
        <v>28.52</v>
      </c>
      <c r="S55" s="7"/>
      <c r="T55" s="6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</row>
    <row r="56" spans="1:31" x14ac:dyDescent="0.3">
      <c r="A56">
        <v>55</v>
      </c>
      <c r="B56" s="6" t="s">
        <v>56</v>
      </c>
      <c r="C56">
        <v>4</v>
      </c>
      <c r="E56">
        <v>4</v>
      </c>
      <c r="G56">
        <v>4</v>
      </c>
      <c r="I56">
        <v>0</v>
      </c>
      <c r="J56" t="s">
        <v>116</v>
      </c>
      <c r="K56">
        <v>12</v>
      </c>
      <c r="L56" s="7">
        <v>20</v>
      </c>
      <c r="M56">
        <f t="shared" si="4"/>
        <v>32</v>
      </c>
      <c r="N56" s="6"/>
      <c r="O56">
        <f t="shared" si="5"/>
        <v>15.84</v>
      </c>
    </row>
    <row r="57" spans="1:31" x14ac:dyDescent="0.3">
      <c r="A57">
        <v>56</v>
      </c>
      <c r="B57" s="2" t="s">
        <v>57</v>
      </c>
      <c r="C57">
        <v>4</v>
      </c>
      <c r="E57">
        <v>4</v>
      </c>
      <c r="G57">
        <v>4</v>
      </c>
      <c r="I57">
        <v>4</v>
      </c>
      <c r="K57" s="9">
        <v>6</v>
      </c>
      <c r="L57" s="9">
        <f>SUM(0,0,0,0,10,0,0,0)</f>
        <v>10</v>
      </c>
      <c r="M57">
        <f t="shared" si="4"/>
        <v>16</v>
      </c>
      <c r="N57" s="2"/>
      <c r="O57">
        <f t="shared" si="5"/>
        <v>17.920000000000002</v>
      </c>
    </row>
    <row r="58" spans="1:31" x14ac:dyDescent="0.3">
      <c r="A58">
        <v>57</v>
      </c>
      <c r="B58" s="2" t="s">
        <v>58</v>
      </c>
      <c r="C58">
        <v>4</v>
      </c>
      <c r="E58">
        <v>4</v>
      </c>
      <c r="G58">
        <v>4</v>
      </c>
      <c r="I58">
        <v>4</v>
      </c>
      <c r="K58" s="9">
        <v>15</v>
      </c>
      <c r="L58" s="9">
        <f>SUM(0,0,0,0,0,0,0,0)</f>
        <v>0</v>
      </c>
      <c r="M58">
        <f t="shared" si="4"/>
        <v>15</v>
      </c>
      <c r="N58" s="2"/>
      <c r="O58">
        <f t="shared" si="5"/>
        <v>17.8</v>
      </c>
    </row>
    <row r="59" spans="1:31" x14ac:dyDescent="0.3">
      <c r="A59">
        <v>58</v>
      </c>
      <c r="B59" s="2" t="s">
        <v>59</v>
      </c>
      <c r="C59">
        <v>4</v>
      </c>
      <c r="E59">
        <v>4</v>
      </c>
      <c r="G59">
        <v>4</v>
      </c>
      <c r="I59">
        <v>4</v>
      </c>
      <c r="K59" s="9">
        <v>18</v>
      </c>
      <c r="L59" s="9">
        <f>SUM(0,5,0,10,0,0,10,0)</f>
        <v>25</v>
      </c>
      <c r="M59">
        <f t="shared" si="4"/>
        <v>43</v>
      </c>
      <c r="O59">
        <f t="shared" si="5"/>
        <v>21.16</v>
      </c>
    </row>
    <row r="60" spans="1:31" x14ac:dyDescent="0.3">
      <c r="A60">
        <v>59</v>
      </c>
      <c r="B60" s="2" t="s">
        <v>60</v>
      </c>
      <c r="C60">
        <v>4</v>
      </c>
      <c r="E60">
        <v>4</v>
      </c>
      <c r="G60">
        <v>4</v>
      </c>
      <c r="I60">
        <v>4</v>
      </c>
      <c r="K60" s="9">
        <v>12</v>
      </c>
      <c r="L60" s="9">
        <f>SUM(0,0,0,0,0,0,10,0)</f>
        <v>10</v>
      </c>
      <c r="M60">
        <f t="shared" si="4"/>
        <v>22</v>
      </c>
      <c r="N60" t="s">
        <v>132</v>
      </c>
      <c r="O60">
        <f t="shared" si="5"/>
        <v>18.64</v>
      </c>
    </row>
    <row r="61" spans="1:31" x14ac:dyDescent="0.3">
      <c r="A61">
        <v>60</v>
      </c>
      <c r="B61" s="2" t="s">
        <v>61</v>
      </c>
      <c r="C61">
        <v>4</v>
      </c>
      <c r="E61">
        <v>5</v>
      </c>
      <c r="G61">
        <v>5</v>
      </c>
      <c r="I61">
        <v>5</v>
      </c>
      <c r="K61" s="9">
        <v>18</v>
      </c>
      <c r="L61" s="9">
        <f>SUM(0,0,10,10,10,10,10,10)</f>
        <v>60</v>
      </c>
      <c r="M61">
        <f t="shared" si="4"/>
        <v>78</v>
      </c>
      <c r="O61">
        <f t="shared" si="5"/>
        <v>28.36</v>
      </c>
    </row>
    <row r="62" spans="1:31" x14ac:dyDescent="0.3">
      <c r="A62">
        <v>61</v>
      </c>
      <c r="B62" s="2" t="s">
        <v>63</v>
      </c>
      <c r="C62">
        <v>4</v>
      </c>
      <c r="E62">
        <v>4</v>
      </c>
      <c r="G62">
        <v>4</v>
      </c>
      <c r="I62">
        <v>5</v>
      </c>
      <c r="K62" s="9">
        <v>6</v>
      </c>
      <c r="L62" s="9">
        <f>SUM(0,0,0,10,10,0,10,0)</f>
        <v>30</v>
      </c>
      <c r="M62">
        <f t="shared" si="4"/>
        <v>36</v>
      </c>
      <c r="O62">
        <f t="shared" si="5"/>
        <v>21.32</v>
      </c>
    </row>
    <row r="63" spans="1:31" x14ac:dyDescent="0.3">
      <c r="A63">
        <v>62</v>
      </c>
      <c r="B63" s="2" t="s">
        <v>64</v>
      </c>
      <c r="C63">
        <v>4</v>
      </c>
      <c r="E63">
        <v>5</v>
      </c>
      <c r="G63">
        <v>5</v>
      </c>
      <c r="I63">
        <v>4</v>
      </c>
      <c r="K63" s="9">
        <v>18</v>
      </c>
      <c r="L63" s="9">
        <f>SUM(0,0,0,0,0,0,10,0)</f>
        <v>10</v>
      </c>
      <c r="M63">
        <f t="shared" si="4"/>
        <v>28</v>
      </c>
      <c r="O63">
        <f t="shared" si="5"/>
        <v>21.36</v>
      </c>
    </row>
    <row r="64" spans="1:31" x14ac:dyDescent="0.3">
      <c r="A64">
        <v>63</v>
      </c>
      <c r="B64" s="6" t="s">
        <v>65</v>
      </c>
      <c r="C64">
        <v>4</v>
      </c>
      <c r="E64">
        <v>5</v>
      </c>
      <c r="G64">
        <v>0</v>
      </c>
      <c r="H64" t="s">
        <v>116</v>
      </c>
      <c r="I64">
        <v>4</v>
      </c>
      <c r="K64" s="9">
        <v>18</v>
      </c>
      <c r="L64" s="9">
        <f>SUM(0,0,0,10,0,0,0,0)</f>
        <v>10</v>
      </c>
      <c r="M64">
        <f t="shared" si="4"/>
        <v>28</v>
      </c>
      <c r="O64">
        <f t="shared" si="5"/>
        <v>16.36</v>
      </c>
    </row>
    <row r="65" spans="1:15" x14ac:dyDescent="0.3">
      <c r="A65">
        <v>64</v>
      </c>
      <c r="B65" s="2" t="s">
        <v>67</v>
      </c>
      <c r="C65">
        <v>4</v>
      </c>
      <c r="E65">
        <v>4</v>
      </c>
      <c r="G65">
        <v>4</v>
      </c>
      <c r="I65">
        <v>4</v>
      </c>
      <c r="K65" s="9">
        <v>21</v>
      </c>
      <c r="L65" s="9">
        <f>SUM(0,0,0,0,0,0,0,0)</f>
        <v>0</v>
      </c>
      <c r="M65">
        <f t="shared" si="4"/>
        <v>21</v>
      </c>
      <c r="O65">
        <f t="shared" si="5"/>
        <v>18.52</v>
      </c>
    </row>
    <row r="66" spans="1:15" x14ac:dyDescent="0.3">
      <c r="A66">
        <v>65</v>
      </c>
      <c r="B66" s="2" t="s">
        <v>68</v>
      </c>
      <c r="C66">
        <v>4</v>
      </c>
      <c r="E66">
        <v>5</v>
      </c>
      <c r="G66">
        <v>4</v>
      </c>
      <c r="I66">
        <v>4</v>
      </c>
      <c r="K66" s="9">
        <v>24</v>
      </c>
      <c r="L66" s="9">
        <f>SUM(0,0,0,10,10,10,10,0)</f>
        <v>40</v>
      </c>
      <c r="M66">
        <f t="shared" ref="M66:M97" si="6">K66+L66</f>
        <v>64</v>
      </c>
      <c r="O66">
        <f t="shared" ref="O66:O97" si="7">C66+E66+G66+I66+M66*0.12</f>
        <v>24.68</v>
      </c>
    </row>
    <row r="67" spans="1:15" x14ac:dyDescent="0.3">
      <c r="A67">
        <v>66</v>
      </c>
      <c r="B67" s="2" t="s">
        <v>69</v>
      </c>
      <c r="C67">
        <v>4</v>
      </c>
      <c r="E67">
        <v>5</v>
      </c>
      <c r="G67">
        <v>4</v>
      </c>
      <c r="I67">
        <v>4</v>
      </c>
      <c r="K67" s="9">
        <v>9</v>
      </c>
      <c r="L67" s="9">
        <f>SUM(0,0,0,0,0,0,0,0)</f>
        <v>0</v>
      </c>
      <c r="M67">
        <f t="shared" si="6"/>
        <v>9</v>
      </c>
      <c r="O67">
        <f t="shared" si="7"/>
        <v>18.079999999999998</v>
      </c>
    </row>
    <row r="68" spans="1:15" x14ac:dyDescent="0.3">
      <c r="A68">
        <v>67</v>
      </c>
      <c r="B68" s="2" t="s">
        <v>70</v>
      </c>
      <c r="C68">
        <v>4</v>
      </c>
      <c r="E68">
        <v>5</v>
      </c>
      <c r="G68">
        <v>5</v>
      </c>
      <c r="I68">
        <v>5</v>
      </c>
      <c r="K68" s="9">
        <v>15</v>
      </c>
      <c r="L68" s="9">
        <f>SUM(0,0,0,0,0,10,0)</f>
        <v>10</v>
      </c>
      <c r="M68">
        <f t="shared" si="6"/>
        <v>25</v>
      </c>
      <c r="O68">
        <f t="shared" si="7"/>
        <v>22</v>
      </c>
    </row>
    <row r="69" spans="1:15" x14ac:dyDescent="0.3">
      <c r="A69">
        <v>68</v>
      </c>
      <c r="B69" s="2" t="s">
        <v>71</v>
      </c>
      <c r="C69">
        <v>4</v>
      </c>
      <c r="E69">
        <v>4</v>
      </c>
      <c r="G69">
        <v>4</v>
      </c>
      <c r="I69">
        <v>4</v>
      </c>
      <c r="K69" s="9">
        <v>15</v>
      </c>
      <c r="L69" s="9">
        <f>SUM(0,0,0,0,10,0,10,0)</f>
        <v>20</v>
      </c>
      <c r="M69">
        <f t="shared" si="6"/>
        <v>35</v>
      </c>
      <c r="O69">
        <f t="shared" si="7"/>
        <v>20.2</v>
      </c>
    </row>
    <row r="70" spans="1:15" x14ac:dyDescent="0.3">
      <c r="A70">
        <v>69</v>
      </c>
      <c r="B70" s="2" t="s">
        <v>72</v>
      </c>
      <c r="C70">
        <v>4</v>
      </c>
      <c r="E70">
        <v>4</v>
      </c>
      <c r="G70">
        <v>4</v>
      </c>
      <c r="I70">
        <v>4</v>
      </c>
      <c r="K70" s="9">
        <v>18</v>
      </c>
      <c r="L70" s="9"/>
      <c r="M70">
        <f t="shared" si="6"/>
        <v>18</v>
      </c>
      <c r="O70">
        <f t="shared" si="7"/>
        <v>18.16</v>
      </c>
    </row>
    <row r="71" spans="1:15" x14ac:dyDescent="0.3">
      <c r="A71">
        <v>70</v>
      </c>
      <c r="B71" s="2" t="s">
        <v>114</v>
      </c>
      <c r="C71">
        <v>4</v>
      </c>
      <c r="E71">
        <v>4</v>
      </c>
      <c r="G71">
        <v>5</v>
      </c>
      <c r="I71">
        <v>4</v>
      </c>
      <c r="K71" s="9">
        <v>18</v>
      </c>
      <c r="L71" s="9">
        <f>SUM(0,0,0,10,0,0,0,0)</f>
        <v>10</v>
      </c>
      <c r="M71">
        <f t="shared" si="6"/>
        <v>28</v>
      </c>
      <c r="O71">
        <f t="shared" si="7"/>
        <v>20.36</v>
      </c>
    </row>
    <row r="72" spans="1:15" x14ac:dyDescent="0.3">
      <c r="A72">
        <v>71</v>
      </c>
      <c r="B72" s="2" t="s">
        <v>73</v>
      </c>
      <c r="C72">
        <v>4</v>
      </c>
      <c r="E72">
        <v>4</v>
      </c>
      <c r="G72">
        <v>4</v>
      </c>
      <c r="I72">
        <v>4</v>
      </c>
      <c r="K72" s="9">
        <v>15</v>
      </c>
      <c r="L72" s="9">
        <f>SUM(0,0,0,0,10,0,0,0)</f>
        <v>10</v>
      </c>
      <c r="M72">
        <f t="shared" si="6"/>
        <v>25</v>
      </c>
      <c r="O72">
        <f t="shared" si="7"/>
        <v>19</v>
      </c>
    </row>
    <row r="73" spans="1:15" x14ac:dyDescent="0.3">
      <c r="A73">
        <v>72</v>
      </c>
      <c r="B73" s="2" t="s">
        <v>74</v>
      </c>
      <c r="C73">
        <v>4</v>
      </c>
      <c r="E73">
        <v>4</v>
      </c>
      <c r="G73">
        <v>4</v>
      </c>
      <c r="I73">
        <v>5</v>
      </c>
      <c r="K73" s="9">
        <v>21</v>
      </c>
      <c r="L73" s="9">
        <f>SUM(5,0,0,10,10,10,10,10)</f>
        <v>55</v>
      </c>
      <c r="M73">
        <f t="shared" si="6"/>
        <v>76</v>
      </c>
      <c r="O73">
        <f t="shared" si="7"/>
        <v>26.119999999999997</v>
      </c>
    </row>
    <row r="74" spans="1:15" x14ac:dyDescent="0.3">
      <c r="A74">
        <v>73</v>
      </c>
      <c r="B74" s="2" t="s">
        <v>75</v>
      </c>
      <c r="C74">
        <v>4</v>
      </c>
      <c r="E74">
        <v>5</v>
      </c>
      <c r="G74">
        <v>5</v>
      </c>
      <c r="I74">
        <v>5</v>
      </c>
      <c r="K74" s="9">
        <v>18</v>
      </c>
      <c r="L74" s="9">
        <f>SUM(0,0,0,0,0,0,10,0)</f>
        <v>10</v>
      </c>
      <c r="M74">
        <f t="shared" si="6"/>
        <v>28</v>
      </c>
      <c r="O74">
        <f t="shared" si="7"/>
        <v>22.36</v>
      </c>
    </row>
    <row r="75" spans="1:15" x14ac:dyDescent="0.3">
      <c r="A75">
        <v>74</v>
      </c>
      <c r="B75" s="2" t="s">
        <v>76</v>
      </c>
      <c r="C75">
        <v>4</v>
      </c>
      <c r="E75">
        <v>5</v>
      </c>
      <c r="G75">
        <v>4</v>
      </c>
      <c r="I75">
        <v>4</v>
      </c>
      <c r="K75" s="9">
        <v>18</v>
      </c>
      <c r="L75" s="9">
        <f>SUM(0,0,0,10,10,0,10,0)</f>
        <v>30</v>
      </c>
      <c r="M75">
        <f t="shared" si="6"/>
        <v>48</v>
      </c>
      <c r="O75">
        <f t="shared" si="7"/>
        <v>22.759999999999998</v>
      </c>
    </row>
    <row r="76" spans="1:15" x14ac:dyDescent="0.3">
      <c r="A76">
        <v>75</v>
      </c>
      <c r="B76" s="2" t="s">
        <v>77</v>
      </c>
      <c r="C76">
        <v>4</v>
      </c>
      <c r="E76">
        <v>5</v>
      </c>
      <c r="G76">
        <v>4</v>
      </c>
      <c r="I76">
        <v>4</v>
      </c>
      <c r="K76" s="9">
        <v>24</v>
      </c>
      <c r="L76" s="9">
        <f>SUM(0,0,0,10,0,0,0,0)</f>
        <v>10</v>
      </c>
      <c r="M76">
        <f t="shared" si="6"/>
        <v>34</v>
      </c>
      <c r="N76" t="s">
        <v>133</v>
      </c>
      <c r="O76">
        <f t="shared" si="7"/>
        <v>21.08</v>
      </c>
    </row>
    <row r="77" spans="1:15" x14ac:dyDescent="0.3">
      <c r="A77">
        <v>76</v>
      </c>
      <c r="B77" s="2" t="s">
        <v>78</v>
      </c>
      <c r="C77">
        <v>5</v>
      </c>
      <c r="E77">
        <v>5</v>
      </c>
      <c r="G77">
        <v>5</v>
      </c>
      <c r="I77">
        <v>5</v>
      </c>
      <c r="K77" s="9">
        <v>21</v>
      </c>
      <c r="L77" s="9">
        <f>SUM(0,0,10,10,10,10,10,10)</f>
        <v>60</v>
      </c>
      <c r="M77">
        <f t="shared" si="6"/>
        <v>81</v>
      </c>
      <c r="O77">
        <f t="shared" si="7"/>
        <v>29.72</v>
      </c>
    </row>
    <row r="78" spans="1:15" x14ac:dyDescent="0.3">
      <c r="A78">
        <v>77</v>
      </c>
      <c r="B78" s="2" t="s">
        <v>79</v>
      </c>
      <c r="C78">
        <v>4</v>
      </c>
      <c r="E78">
        <v>4</v>
      </c>
      <c r="G78">
        <v>4</v>
      </c>
      <c r="I78">
        <v>4</v>
      </c>
      <c r="K78" s="9">
        <v>21</v>
      </c>
      <c r="L78" s="9">
        <f>SUM(0,0,0,0)</f>
        <v>0</v>
      </c>
      <c r="M78">
        <f t="shared" si="6"/>
        <v>21</v>
      </c>
      <c r="O78">
        <f t="shared" si="7"/>
        <v>18.52</v>
      </c>
    </row>
    <row r="79" spans="1:15" x14ac:dyDescent="0.3">
      <c r="A79">
        <v>78</v>
      </c>
      <c r="B79" s="2" t="s">
        <v>80</v>
      </c>
      <c r="C79">
        <v>4</v>
      </c>
      <c r="E79">
        <v>5</v>
      </c>
      <c r="G79">
        <v>4</v>
      </c>
      <c r="I79">
        <v>5</v>
      </c>
      <c r="K79" s="9">
        <v>15</v>
      </c>
      <c r="L79" s="9">
        <f>SUM(0,0,10,10,10,0,10,10)</f>
        <v>50</v>
      </c>
      <c r="M79">
        <f t="shared" si="6"/>
        <v>65</v>
      </c>
      <c r="O79">
        <f t="shared" si="7"/>
        <v>25.8</v>
      </c>
    </row>
    <row r="80" spans="1:15" x14ac:dyDescent="0.3">
      <c r="A80">
        <v>79</v>
      </c>
      <c r="B80" s="6" t="s">
        <v>81</v>
      </c>
      <c r="C80">
        <v>5</v>
      </c>
      <c r="E80">
        <v>5</v>
      </c>
      <c r="G80">
        <v>5</v>
      </c>
      <c r="I80">
        <v>5</v>
      </c>
      <c r="K80">
        <v>21</v>
      </c>
      <c r="L80">
        <v>55</v>
      </c>
      <c r="M80">
        <f t="shared" si="6"/>
        <v>76</v>
      </c>
      <c r="O80">
        <f t="shared" si="7"/>
        <v>29.119999999999997</v>
      </c>
    </row>
    <row r="81" spans="1:15" x14ac:dyDescent="0.3">
      <c r="A81">
        <v>80</v>
      </c>
      <c r="B81" s="2" t="s">
        <v>82</v>
      </c>
      <c r="C81">
        <v>4</v>
      </c>
      <c r="E81">
        <v>4</v>
      </c>
      <c r="G81">
        <v>5</v>
      </c>
      <c r="I81">
        <v>5</v>
      </c>
      <c r="K81" s="9">
        <v>27</v>
      </c>
      <c r="L81" s="9">
        <f>SUM(5,0,10,10,10,10,10,10)</f>
        <v>65</v>
      </c>
      <c r="M81">
        <f t="shared" si="6"/>
        <v>92</v>
      </c>
      <c r="O81">
        <f t="shared" si="7"/>
        <v>29.04</v>
      </c>
    </row>
    <row r="82" spans="1:15" x14ac:dyDescent="0.3">
      <c r="A82">
        <v>81</v>
      </c>
      <c r="B82" s="2" t="s">
        <v>83</v>
      </c>
      <c r="C82">
        <v>4</v>
      </c>
      <c r="E82">
        <v>5</v>
      </c>
      <c r="G82">
        <v>5</v>
      </c>
      <c r="I82">
        <v>5</v>
      </c>
      <c r="K82" s="9">
        <v>9</v>
      </c>
      <c r="L82" s="9">
        <f>SUM(0,0,0)</f>
        <v>0</v>
      </c>
      <c r="M82">
        <f t="shared" si="6"/>
        <v>9</v>
      </c>
      <c r="N82" t="s">
        <v>134</v>
      </c>
      <c r="O82">
        <f t="shared" si="7"/>
        <v>20.079999999999998</v>
      </c>
    </row>
    <row r="83" spans="1:15" x14ac:dyDescent="0.3">
      <c r="A83">
        <v>82</v>
      </c>
      <c r="B83" s="2" t="s">
        <v>84</v>
      </c>
      <c r="C83">
        <v>4</v>
      </c>
      <c r="E83">
        <v>4</v>
      </c>
      <c r="G83">
        <v>4</v>
      </c>
      <c r="I83">
        <v>4</v>
      </c>
      <c r="K83" s="9">
        <v>27</v>
      </c>
      <c r="L83" s="9">
        <f>SUM(0,0,0,10,0,0,10,0)</f>
        <v>20</v>
      </c>
      <c r="M83">
        <f t="shared" si="6"/>
        <v>47</v>
      </c>
      <c r="O83">
        <f t="shared" si="7"/>
        <v>21.64</v>
      </c>
    </row>
    <row r="84" spans="1:15" x14ac:dyDescent="0.3">
      <c r="A84">
        <v>83</v>
      </c>
      <c r="B84" s="2" t="s">
        <v>85</v>
      </c>
      <c r="C84">
        <v>4</v>
      </c>
      <c r="E84">
        <v>4</v>
      </c>
      <c r="G84">
        <v>4</v>
      </c>
      <c r="I84">
        <v>4</v>
      </c>
      <c r="K84" s="9">
        <v>15</v>
      </c>
      <c r="L84" s="9">
        <f>SUM(0,0,10,10,0,0,10,0)</f>
        <v>30</v>
      </c>
      <c r="M84">
        <f t="shared" si="6"/>
        <v>45</v>
      </c>
      <c r="N84" t="s">
        <v>135</v>
      </c>
      <c r="O84">
        <f t="shared" si="7"/>
        <v>21.4</v>
      </c>
    </row>
    <row r="85" spans="1:15" x14ac:dyDescent="0.3">
      <c r="A85">
        <v>84</v>
      </c>
      <c r="B85" s="2" t="s">
        <v>86</v>
      </c>
      <c r="C85">
        <v>5</v>
      </c>
      <c r="E85">
        <v>5</v>
      </c>
      <c r="G85">
        <v>4</v>
      </c>
      <c r="I85">
        <v>5</v>
      </c>
      <c r="K85" s="9">
        <v>27</v>
      </c>
      <c r="L85" s="9">
        <f>SUM(0,0,0,10,10,10,10,10)</f>
        <v>50</v>
      </c>
      <c r="M85">
        <f t="shared" si="6"/>
        <v>77</v>
      </c>
      <c r="O85">
        <f t="shared" si="7"/>
        <v>28.240000000000002</v>
      </c>
    </row>
    <row r="86" spans="1:15" x14ac:dyDescent="0.3">
      <c r="A86">
        <v>85</v>
      </c>
      <c r="B86" s="2" t="s">
        <v>87</v>
      </c>
      <c r="C86">
        <v>4</v>
      </c>
      <c r="E86">
        <v>4</v>
      </c>
      <c r="G86">
        <v>5</v>
      </c>
      <c r="I86">
        <v>4</v>
      </c>
      <c r="K86" s="9">
        <v>21</v>
      </c>
      <c r="L86" s="9">
        <f>SUM(0,0,0,0,0,0,0,0)</f>
        <v>0</v>
      </c>
      <c r="M86">
        <f t="shared" si="6"/>
        <v>21</v>
      </c>
      <c r="N86" t="s">
        <v>132</v>
      </c>
      <c r="O86">
        <f t="shared" si="7"/>
        <v>19.52</v>
      </c>
    </row>
    <row r="87" spans="1:15" x14ac:dyDescent="0.3">
      <c r="A87">
        <v>86</v>
      </c>
      <c r="B87" s="2" t="s">
        <v>88</v>
      </c>
      <c r="C87">
        <v>4</v>
      </c>
      <c r="E87">
        <v>5</v>
      </c>
      <c r="G87">
        <v>4</v>
      </c>
      <c r="I87">
        <v>5</v>
      </c>
      <c r="K87" s="9">
        <v>15</v>
      </c>
      <c r="L87" s="9">
        <f>SUM(0,0,0,0,10)</f>
        <v>10</v>
      </c>
      <c r="M87">
        <f t="shared" si="6"/>
        <v>25</v>
      </c>
      <c r="N87" t="s">
        <v>136</v>
      </c>
      <c r="O87">
        <f t="shared" si="7"/>
        <v>21</v>
      </c>
    </row>
    <row r="88" spans="1:15" x14ac:dyDescent="0.3">
      <c r="A88">
        <v>87</v>
      </c>
      <c r="B88" s="2" t="s">
        <v>89</v>
      </c>
      <c r="C88">
        <v>4</v>
      </c>
      <c r="E88">
        <v>4</v>
      </c>
      <c r="G88">
        <v>4</v>
      </c>
      <c r="I88">
        <v>4</v>
      </c>
      <c r="K88" s="9">
        <v>21</v>
      </c>
      <c r="L88" s="9">
        <f>SUM(0,0,0,10,0,0,10,0)</f>
        <v>20</v>
      </c>
      <c r="M88">
        <f t="shared" si="6"/>
        <v>41</v>
      </c>
      <c r="O88">
        <f t="shared" si="7"/>
        <v>20.92</v>
      </c>
    </row>
    <row r="89" spans="1:15" x14ac:dyDescent="0.3">
      <c r="A89">
        <v>88</v>
      </c>
      <c r="B89" s="2" t="s">
        <v>90</v>
      </c>
      <c r="C89">
        <v>4</v>
      </c>
      <c r="E89">
        <v>4</v>
      </c>
      <c r="G89">
        <v>5</v>
      </c>
      <c r="I89">
        <v>5</v>
      </c>
      <c r="K89" s="9">
        <v>21</v>
      </c>
      <c r="L89" s="9">
        <f>SUM(0,0,0,0,0,0,0,0)</f>
        <v>0</v>
      </c>
      <c r="M89">
        <f t="shared" si="6"/>
        <v>21</v>
      </c>
      <c r="N89" t="s">
        <v>137</v>
      </c>
      <c r="O89">
        <f t="shared" si="7"/>
        <v>20.52</v>
      </c>
    </row>
    <row r="90" spans="1:15" x14ac:dyDescent="0.3">
      <c r="A90">
        <v>89</v>
      </c>
      <c r="B90" s="2" t="s">
        <v>91</v>
      </c>
      <c r="C90">
        <v>4</v>
      </c>
      <c r="E90">
        <v>5</v>
      </c>
      <c r="G90">
        <v>5</v>
      </c>
      <c r="I90">
        <v>4</v>
      </c>
      <c r="K90" s="9">
        <v>15</v>
      </c>
      <c r="L90" s="9">
        <f>SUM(0,0,0,0,0)</f>
        <v>0</v>
      </c>
      <c r="M90">
        <f t="shared" si="6"/>
        <v>15</v>
      </c>
      <c r="O90">
        <f t="shared" si="7"/>
        <v>19.8</v>
      </c>
    </row>
    <row r="91" spans="1:15" x14ac:dyDescent="0.3">
      <c r="A91">
        <v>90</v>
      </c>
      <c r="B91" s="2" t="s">
        <v>92</v>
      </c>
      <c r="C91">
        <v>5</v>
      </c>
      <c r="E91">
        <v>5</v>
      </c>
      <c r="G91">
        <v>5</v>
      </c>
      <c r="I91">
        <v>5</v>
      </c>
      <c r="K91" s="9">
        <v>18</v>
      </c>
      <c r="L91" s="9">
        <f>SUM(5,5,10,10,10,10,10,10)</f>
        <v>70</v>
      </c>
      <c r="M91">
        <f t="shared" si="6"/>
        <v>88</v>
      </c>
      <c r="N91" t="s">
        <v>138</v>
      </c>
      <c r="O91">
        <f t="shared" si="7"/>
        <v>30.56</v>
      </c>
    </row>
    <row r="92" spans="1:15" x14ac:dyDescent="0.3">
      <c r="A92">
        <v>91</v>
      </c>
      <c r="B92" s="2" t="s">
        <v>93</v>
      </c>
      <c r="C92">
        <v>4</v>
      </c>
      <c r="E92">
        <v>4</v>
      </c>
      <c r="G92">
        <v>5</v>
      </c>
      <c r="I92">
        <v>5</v>
      </c>
      <c r="K92" s="9">
        <v>24</v>
      </c>
      <c r="L92" s="9">
        <f>SUM(0,0,10,10,10,10,10,10)</f>
        <v>60</v>
      </c>
      <c r="M92">
        <f t="shared" si="6"/>
        <v>84</v>
      </c>
      <c r="O92">
        <f t="shared" si="7"/>
        <v>28.08</v>
      </c>
    </row>
    <row r="93" spans="1:15" x14ac:dyDescent="0.3">
      <c r="A93">
        <v>92</v>
      </c>
      <c r="B93" s="2" t="s">
        <v>94</v>
      </c>
      <c r="C93">
        <v>4</v>
      </c>
      <c r="E93">
        <v>5</v>
      </c>
      <c r="G93">
        <v>4</v>
      </c>
      <c r="I93">
        <v>4</v>
      </c>
      <c r="K93" s="9">
        <v>12</v>
      </c>
      <c r="L93" s="9">
        <f>SUM(0,0,0,0,0,0,0,0)</f>
        <v>0</v>
      </c>
      <c r="M93">
        <f t="shared" si="6"/>
        <v>12</v>
      </c>
      <c r="O93">
        <f t="shared" si="7"/>
        <v>18.440000000000001</v>
      </c>
    </row>
    <row r="94" spans="1:15" x14ac:dyDescent="0.3">
      <c r="A94">
        <v>93</v>
      </c>
      <c r="B94" s="2" t="s">
        <v>95</v>
      </c>
      <c r="C94">
        <v>4</v>
      </c>
      <c r="E94">
        <v>4</v>
      </c>
      <c r="G94">
        <v>4</v>
      </c>
      <c r="I94">
        <v>4</v>
      </c>
      <c r="K94" s="9">
        <v>12</v>
      </c>
      <c r="L94" s="9">
        <f>SUM(0,0,0,0,0,0,0,0)</f>
        <v>0</v>
      </c>
      <c r="M94">
        <f t="shared" si="6"/>
        <v>12</v>
      </c>
      <c r="O94">
        <f t="shared" si="7"/>
        <v>17.440000000000001</v>
      </c>
    </row>
    <row r="95" spans="1:15" x14ac:dyDescent="0.3">
      <c r="A95">
        <v>94</v>
      </c>
      <c r="B95" s="2" t="s">
        <v>96</v>
      </c>
      <c r="C95">
        <v>4</v>
      </c>
      <c r="E95">
        <v>5</v>
      </c>
      <c r="G95">
        <v>5</v>
      </c>
      <c r="I95">
        <v>5</v>
      </c>
      <c r="K95" s="9">
        <v>18</v>
      </c>
      <c r="L95" s="9">
        <f>SUM(0,0,10,10,10,0,10,10)</f>
        <v>50</v>
      </c>
      <c r="M95">
        <f t="shared" si="6"/>
        <v>68</v>
      </c>
      <c r="N95" t="s">
        <v>131</v>
      </c>
      <c r="O95">
        <f t="shared" si="7"/>
        <v>27.16</v>
      </c>
    </row>
    <row r="96" spans="1:15" x14ac:dyDescent="0.3">
      <c r="A96">
        <v>95</v>
      </c>
      <c r="B96" s="2" t="s">
        <v>97</v>
      </c>
      <c r="C96">
        <v>4</v>
      </c>
      <c r="E96">
        <v>4</v>
      </c>
      <c r="G96">
        <v>4</v>
      </c>
      <c r="I96">
        <v>4</v>
      </c>
      <c r="K96" s="9">
        <v>12</v>
      </c>
      <c r="L96" s="9">
        <f>SUM(0,0,10,0,0,0,10,0)</f>
        <v>20</v>
      </c>
      <c r="M96">
        <f t="shared" si="6"/>
        <v>32</v>
      </c>
      <c r="O96">
        <f t="shared" si="7"/>
        <v>19.84</v>
      </c>
    </row>
    <row r="97" spans="1:15" x14ac:dyDescent="0.3">
      <c r="A97">
        <v>96</v>
      </c>
      <c r="B97" s="2" t="s">
        <v>98</v>
      </c>
      <c r="C97">
        <v>4</v>
      </c>
      <c r="E97">
        <v>4</v>
      </c>
      <c r="G97">
        <v>5</v>
      </c>
      <c r="I97">
        <v>5</v>
      </c>
      <c r="K97" s="9">
        <v>9</v>
      </c>
      <c r="L97" s="9"/>
      <c r="M97">
        <f t="shared" si="6"/>
        <v>9</v>
      </c>
      <c r="O97">
        <f t="shared" si="7"/>
        <v>19.079999999999998</v>
      </c>
    </row>
    <row r="98" spans="1:15" x14ac:dyDescent="0.3">
      <c r="A98">
        <v>97</v>
      </c>
      <c r="B98" s="3" t="s">
        <v>112</v>
      </c>
      <c r="C98">
        <v>4</v>
      </c>
      <c r="E98">
        <v>5</v>
      </c>
      <c r="G98">
        <v>5</v>
      </c>
      <c r="I98">
        <v>5</v>
      </c>
      <c r="K98" s="9">
        <v>18</v>
      </c>
      <c r="L98" s="9">
        <f>SUM(0,0,10,10,10,10,10,0)</f>
        <v>50</v>
      </c>
      <c r="M98">
        <f t="shared" ref="M98:M104" si="8">K98+L98</f>
        <v>68</v>
      </c>
      <c r="N98" t="s">
        <v>123</v>
      </c>
      <c r="O98">
        <f t="shared" ref="O98:O104" si="9">C98+E98+G98+I98+M98*0.12</f>
        <v>27.16</v>
      </c>
    </row>
    <row r="99" spans="1:15" x14ac:dyDescent="0.3">
      <c r="A99">
        <v>98</v>
      </c>
      <c r="B99" s="2" t="s">
        <v>99</v>
      </c>
      <c r="C99">
        <v>4</v>
      </c>
      <c r="E99">
        <v>4</v>
      </c>
      <c r="G99">
        <v>4</v>
      </c>
      <c r="I99">
        <v>4</v>
      </c>
      <c r="K99" s="9">
        <v>12</v>
      </c>
      <c r="L99" s="9">
        <f>SUM(0,0,0,10,0,0,0,0)</f>
        <v>10</v>
      </c>
      <c r="M99">
        <f t="shared" si="8"/>
        <v>22</v>
      </c>
      <c r="O99">
        <f t="shared" si="9"/>
        <v>18.64</v>
      </c>
    </row>
    <row r="100" spans="1:15" x14ac:dyDescent="0.3">
      <c r="A100">
        <v>99</v>
      </c>
      <c r="B100" s="2" t="s">
        <v>100</v>
      </c>
      <c r="C100">
        <v>4</v>
      </c>
      <c r="E100">
        <v>5</v>
      </c>
      <c r="G100">
        <v>5</v>
      </c>
      <c r="I100">
        <v>5</v>
      </c>
      <c r="K100" s="9">
        <v>18</v>
      </c>
      <c r="L100" s="9">
        <f>SUM(0,0,0,0,0,0,10,0)</f>
        <v>10</v>
      </c>
      <c r="M100">
        <f t="shared" si="8"/>
        <v>28</v>
      </c>
      <c r="O100">
        <f t="shared" si="9"/>
        <v>22.36</v>
      </c>
    </row>
    <row r="101" spans="1:15" x14ac:dyDescent="0.3">
      <c r="A101">
        <v>100</v>
      </c>
      <c r="B101" s="2" t="s">
        <v>102</v>
      </c>
      <c r="C101">
        <v>4</v>
      </c>
      <c r="E101">
        <v>5</v>
      </c>
      <c r="G101">
        <v>4</v>
      </c>
      <c r="I101">
        <v>5</v>
      </c>
      <c r="K101" s="9">
        <v>15</v>
      </c>
      <c r="L101" s="9">
        <f>SUM(0,0,0,0,0,0,10,0)</f>
        <v>10</v>
      </c>
      <c r="M101">
        <f t="shared" si="8"/>
        <v>25</v>
      </c>
      <c r="N101" t="s">
        <v>123</v>
      </c>
      <c r="O101">
        <f t="shared" si="9"/>
        <v>21</v>
      </c>
    </row>
    <row r="102" spans="1:15" x14ac:dyDescent="0.3">
      <c r="A102">
        <v>101</v>
      </c>
      <c r="B102" s="2" t="s">
        <v>103</v>
      </c>
      <c r="C102">
        <v>4</v>
      </c>
      <c r="E102">
        <v>4</v>
      </c>
      <c r="G102">
        <v>4</v>
      </c>
      <c r="I102">
        <v>4</v>
      </c>
      <c r="K102" s="9">
        <v>15</v>
      </c>
      <c r="L102" s="9">
        <v>0</v>
      </c>
      <c r="M102">
        <f t="shared" si="8"/>
        <v>15</v>
      </c>
      <c r="N102" t="s">
        <v>139</v>
      </c>
      <c r="O102">
        <f t="shared" si="9"/>
        <v>17.8</v>
      </c>
    </row>
    <row r="103" spans="1:15" x14ac:dyDescent="0.3">
      <c r="A103">
        <v>102</v>
      </c>
      <c r="B103" s="2" t="s">
        <v>104</v>
      </c>
      <c r="C103">
        <v>4</v>
      </c>
      <c r="E103">
        <v>4</v>
      </c>
      <c r="G103">
        <v>4</v>
      </c>
      <c r="I103">
        <v>4</v>
      </c>
      <c r="K103" s="9">
        <v>15</v>
      </c>
      <c r="L103" s="9">
        <f>SUM(0,0,0,0,0,0,0,0)</f>
        <v>0</v>
      </c>
      <c r="M103">
        <f t="shared" si="8"/>
        <v>15</v>
      </c>
      <c r="O103">
        <f t="shared" si="9"/>
        <v>17.8</v>
      </c>
    </row>
    <row r="104" spans="1:15" x14ac:dyDescent="0.3">
      <c r="A104">
        <v>103</v>
      </c>
      <c r="B104" s="2" t="s">
        <v>105</v>
      </c>
      <c r="C104">
        <v>4</v>
      </c>
      <c r="E104">
        <v>4</v>
      </c>
      <c r="G104">
        <v>5</v>
      </c>
      <c r="I104">
        <v>4</v>
      </c>
      <c r="K104" s="9">
        <v>24</v>
      </c>
      <c r="L104" s="9">
        <f>SUM(0,0,10,10,10,10,10,10)</f>
        <v>60</v>
      </c>
      <c r="M104">
        <f t="shared" si="8"/>
        <v>84</v>
      </c>
      <c r="O104">
        <f t="shared" si="9"/>
        <v>27.08</v>
      </c>
    </row>
    <row r="199" spans="1:2" x14ac:dyDescent="0.3">
      <c r="A199" s="7"/>
      <c r="B199" s="6"/>
    </row>
  </sheetData>
  <sortState xmlns:xlrd2="http://schemas.microsoft.com/office/spreadsheetml/2017/richdata2" ref="A2:P199">
    <sortCondition ref="B2:B199"/>
  </sortState>
  <phoneticPr fontId="1" type="noConversion"/>
  <pageMargins left="0.7" right="0.7" top="0.75" bottom="0.75" header="0.3" footer="0.3"/>
  <pageSetup paperSize="9" orientation="portrait" r:id="rId1"/>
  <ignoredErrors>
    <ignoredError sqref="L66 L8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李济丞</dc:creator>
  <cp:lastModifiedBy>济丞 李</cp:lastModifiedBy>
  <dcterms:created xsi:type="dcterms:W3CDTF">2015-06-05T18:19:34Z</dcterms:created>
  <dcterms:modified xsi:type="dcterms:W3CDTF">2025-12-20T01:37:31Z</dcterms:modified>
</cp:coreProperties>
</file>